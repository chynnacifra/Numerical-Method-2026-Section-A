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version Factors" sheetId="2" state="visible" r:id="rId4"/>
    <sheet name="Hot Rolled" sheetId="3" state="visible" r:id="rId5"/>
    <sheet name="Cold Formed" sheetId="4" state="visible" r:id="rId6"/>
    <sheet name="Wood" sheetId="5" state="visible" r:id="rId7"/>
    <sheet name="Concrete" sheetId="6" state="visible" r:id="rId8"/>
    <sheet name="Masonry" sheetId="7" state="visible" r:id="rId9"/>
    <sheet name="Aluminum" sheetId="8" state="visible" r:id="rId10"/>
    <sheet name="Stainless" sheetId="9" state="visible" r:id="rId11"/>
    <sheet name="General" sheetId="10" state="visible" r:id="rId12"/>
    <sheet name="All Materials" sheetId="11" state="visible" r:id="rId13"/>
    <sheet name="Glossary" sheetId="12" state="visible" r:id="rId14"/>
  </sheets>
  <definedNames>
    <definedName function="false" hidden="true" localSheetId="10" name="_xlnm._FilterDatabase" vbProcedure="false">'All Materials'!$A$4:$P$45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<sst xmlns="http://schemas.openxmlformats.org/spreadsheetml/2006/main" count="605" uniqueCount="282">
  <si>
    <t xml:space="preserve">RISA-3D Material Library in Imperial and Standard Metric, for Python Solver Rev.2</t>
  </si>
  <si>
    <t xml:space="preserve">Source: nine screenshots in the Materials folder (RISA-3D Materials spreadsheet, one sheet per tab, plus the Masonry Self Weight dialog).</t>
  </si>
  <si>
    <t xml:space="preserve">Two unit sets on every sheet: the Imperial table (ksi, k/ft³, 1e-5/°F) as transcribed from RISA, and below it a Standard Metric table (MPa, kN/m³, kg/m³, 1e-6/°C) computed by formula from the Imperial rows.</t>
  </si>
  <si>
    <t xml:space="preserve">All conversion factors live on the Conversion Factors sheet and are formulas built from three exact definitions: 1 in = 25.4 mm, 1 lbf = 4.4482216152605 N, g = 9.80665 m/s².</t>
  </si>
  <si>
    <t xml:space="preserve">Blue numbers are transcribed inputs. Black cells in the green-shaded 'Solver check' columns are live formulas and recalculate if an input is edited.</t>
  </si>
  <si>
    <t xml:space="preserve">The 'All Materials' sheet is a flat, solver-ready table: one row per material with SI conversions computed by formula.</t>
  </si>
  <si>
    <t xml:space="preserve">Notes on the source screenshots:</t>
  </si>
  <si>
    <t xml:space="preserve">  Wood rows 7 to 12: labels are truncated on screen; the full label was reconstructed from the Species column.</t>
  </si>
  <si>
    <t xml:space="preserve">  Aluminum row 6: label reads '6061-T6...' on screen; strengths (Ftu 24, Fty 15 ksi) match welded 6061-T6, so it is labelled '6061-T6 (welded)'.</t>
  </si>
  <si>
    <t xml:space="preserve">  Stainless SS1: the numbers sit under ksi headers but have SI magnitudes (193,100 MPa, 206.843 MPa = 30 ksi, 517.107 MPa = 75 ksi). Recorded as displayed; check the RISA unit setting before using this row.</t>
  </si>
  <si>
    <t xml:space="preserve">  General RIGID: G is blank in RISA; E is 1e+6 ksi.</t>
  </si>
  <si>
    <t xml:space="preserve">Sheet index</t>
  </si>
  <si>
    <t xml:space="preserve">Conversion Factors</t>
  </si>
  <si>
    <t xml:space="preserve">Exact definitions and every derived Imperial/Metric factor, as formulas</t>
  </si>
  <si>
    <t xml:space="preserve">Hot Rolled</t>
  </si>
  <si>
    <t xml:space="preserve">Hot rolled steel: A36, A572, A992, A500</t>
  </si>
  <si>
    <t xml:space="preserve">Cold Formed</t>
  </si>
  <si>
    <t xml:space="preserve">Cold formed steel: A570, A607</t>
  </si>
  <si>
    <t xml:space="preserve">Wood</t>
  </si>
  <si>
    <t xml:space="preserve">Solid sawn, glulam and LVL species keys</t>
  </si>
  <si>
    <t xml:space="preserve">Concrete</t>
  </si>
  <si>
    <t xml:space="preserve">Normal and lightweight, 3 to 4 ksi</t>
  </si>
  <si>
    <t xml:space="preserve">Masonry</t>
  </si>
  <si>
    <t xml:space="preserve">Concrete and clay masonry plus self-weight settings</t>
  </si>
  <si>
    <t xml:space="preserve">Aluminum</t>
  </si>
  <si>
    <t xml:space="preserve">3003, 5052, 6061, 6063 alloys</t>
  </si>
  <si>
    <t xml:space="preserve">Stainless</t>
  </si>
  <si>
    <t xml:space="preserve">SS1 with Ramberg-Osgood n</t>
  </si>
  <si>
    <t xml:space="preserve">General</t>
  </si>
  <si>
    <t xml:space="preserve">Generic isotropic materials and RIGID</t>
  </si>
  <si>
    <t xml:space="preserve">All Materials</t>
  </si>
  <si>
    <t xml:space="preserve">Flat solver-ready table, Imperial and Metric side by side</t>
  </si>
  <si>
    <t xml:space="preserve">Glossary</t>
  </si>
  <si>
    <t xml:space="preserve">What every column means and how the solver uses it</t>
  </si>
  <si>
    <t xml:space="preserve">Conversion factors, Imperial to Standard Metric, derived from exact definitions</t>
  </si>
  <si>
    <t xml:space="preserve">Base definitions (exact, NIST SP 811). Blue = input; everything below is a formula.</t>
  </si>
  <si>
    <t xml:space="preserve">1 inch in millimetres</t>
  </si>
  <si>
    <t xml:space="preserve">mm</t>
  </si>
  <si>
    <t xml:space="preserve">1 pound-force in newtons</t>
  </si>
  <si>
    <t xml:space="preserve">N</t>
  </si>
  <si>
    <t xml:space="preserve">Standard gravity</t>
  </si>
  <si>
    <t xml:space="preserve">m/s²</t>
  </si>
  <si>
    <t xml:space="preserve">Kip = 1000 lbf</t>
  </si>
  <si>
    <t xml:space="preserve">lbf</t>
  </si>
  <si>
    <t xml:space="preserve">Foot = 12 inches</t>
  </si>
  <si>
    <t xml:space="preserve">in</t>
  </si>
  <si>
    <t xml:space="preserve">Derived factors</t>
  </si>
  <si>
    <t xml:space="preserve">Quantity</t>
  </si>
  <si>
    <t xml:space="preserve">Imperial unit</t>
  </si>
  <si>
    <t xml:space="preserve">Metric unit</t>
  </si>
  <si>
    <t xml:space="preserve">Multiply Imperial by</t>
  </si>
  <si>
    <t xml:space="preserve">Metric to Imperial</t>
  </si>
  <si>
    <t xml:space="preserve">Derivation</t>
  </si>
  <si>
    <t xml:space="preserve">Length</t>
  </si>
  <si>
    <t xml:space="preserve">1 in = 25.4 mm</t>
  </si>
  <si>
    <t xml:space="preserve">ft</t>
  </si>
  <si>
    <t xml:space="preserve">m</t>
  </si>
  <si>
    <t xml:space="preserve">12 × 25.4 / 1000</t>
  </si>
  <si>
    <t xml:space="preserve">Area</t>
  </si>
  <si>
    <t xml:space="preserve">in²</t>
  </si>
  <si>
    <t xml:space="preserve">mm²</t>
  </si>
  <si>
    <t xml:space="preserve">25.4²</t>
  </si>
  <si>
    <t xml:space="preserve">Moment of inertia</t>
  </si>
  <si>
    <t xml:space="preserve">in⁴</t>
  </si>
  <si>
    <t xml:space="preserve">mm⁴</t>
  </si>
  <si>
    <t xml:space="preserve">25.4⁴</t>
  </si>
  <si>
    <t xml:space="preserve">Force</t>
  </si>
  <si>
    <t xml:space="preserve">kip</t>
  </si>
  <si>
    <t xml:space="preserve">kN</t>
  </si>
  <si>
    <t xml:space="preserve">4.448222 N × 1000 / 1000</t>
  </si>
  <si>
    <t xml:space="preserve">Moment</t>
  </si>
  <si>
    <t xml:space="preserve">kip·ft</t>
  </si>
  <si>
    <t xml:space="preserve">kN·m</t>
  </si>
  <si>
    <t xml:space="preserve">kN × m</t>
  </si>
  <si>
    <t xml:space="preserve">Stress / modulus</t>
  </si>
  <si>
    <t xml:space="preserve">ksi</t>
  </si>
  <si>
    <t xml:space="preserve">MPa</t>
  </si>
  <si>
    <t xml:space="preserve">kN / mm² × 1000 = N/mm²</t>
  </si>
  <si>
    <t xml:space="preserve">GPa</t>
  </si>
  <si>
    <t xml:space="preserve">MPa / 1000</t>
  </si>
  <si>
    <t xml:space="preserve">Distributed load</t>
  </si>
  <si>
    <t xml:space="preserve">kip/ft</t>
  </si>
  <si>
    <t xml:space="preserve">kN/m</t>
  </si>
  <si>
    <t xml:space="preserve">kN / m</t>
  </si>
  <si>
    <t xml:space="preserve">Unit weight</t>
  </si>
  <si>
    <t xml:space="preserve">k/ft³</t>
  </si>
  <si>
    <t xml:space="preserve">kN/m³</t>
  </si>
  <si>
    <t xml:space="preserve">kN / m³</t>
  </si>
  <si>
    <t xml:space="preserve">Mass density from unit weight</t>
  </si>
  <si>
    <t xml:space="preserve">kg/m³</t>
  </si>
  <si>
    <t xml:space="preserve">N/m³ ÷ g</t>
  </si>
  <si>
    <t xml:space="preserve">Thermal coefficient</t>
  </si>
  <si>
    <t xml:space="preserve">1e-5 /°F</t>
  </si>
  <si>
    <t xml:space="preserve">1e-6 /°C</t>
  </si>
  <si>
    <t xml:space="preserve">per °F × 1.8 = per °C; 1e-5 → 1e-6 is × 10</t>
  </si>
  <si>
    <t xml:space="preserve">Hot Rolled Materials (RISA-3D)</t>
  </si>
  <si>
    <t xml:space="preserve">Source screenshot: Materials-SS-Hot-Rolled-TAB.png. Blue = transcribed input. Green = live formula check.</t>
  </si>
  <si>
    <t xml:space="preserve">Imperial (as shown in RISA): ksi, k/ft³, 1e-5/°F</t>
  </si>
  <si>
    <t xml:space="preserve">Label</t>
  </si>
  <si>
    <t xml:space="preserve">E [ksi]</t>
  </si>
  <si>
    <t xml:space="preserve">G [ksi]</t>
  </si>
  <si>
    <t xml:space="preserve">Nu</t>
  </si>
  <si>
    <t xml:space="preserve">Therm. Coeff. [1e-5/°F]</t>
  </si>
  <si>
    <t xml:space="preserve">Density [k/ft³]</t>
  </si>
  <si>
    <t xml:space="preserve">Yield [ksi]</t>
  </si>
  <si>
    <t xml:space="preserve">Ry</t>
  </si>
  <si>
    <t xml:space="preserve">Fu [ksi]</t>
  </si>
  <si>
    <t xml:space="preserve">Rt</t>
  </si>
  <si>
    <t xml:space="preserve">Solver check: G = E/(2(1+Nu)) [ksi]</t>
  </si>
  <si>
    <t xml:space="preserve">Diff vs table G</t>
  </si>
  <si>
    <t xml:space="preserve">A36 Gr.36</t>
  </si>
  <si>
    <t xml:space="preserve">A572 Gr.50</t>
  </si>
  <si>
    <t xml:space="preserve">A992</t>
  </si>
  <si>
    <t xml:space="preserve">A500 Gr.42</t>
  </si>
  <si>
    <t xml:space="preserve">A500 Gr.46</t>
  </si>
  <si>
    <t xml:space="preserve">Standard Metric (SI), computed by formula from the Imperial table above</t>
  </si>
  <si>
    <t xml:space="preserve">E [MPa]</t>
  </si>
  <si>
    <t xml:space="preserve">G [MPa]</t>
  </si>
  <si>
    <t xml:space="preserve">Therm. Coeff. [1e-6/°C]</t>
  </si>
  <si>
    <t xml:space="preserve">Density [kN/m³]</t>
  </si>
  <si>
    <t xml:space="preserve">Yield [MPa]</t>
  </si>
  <si>
    <t xml:space="preserve">Fu [MPa]</t>
  </si>
  <si>
    <t xml:space="preserve">Mass Density [kg/m³]</t>
  </si>
  <si>
    <t xml:space="preserve">E [GPa]</t>
  </si>
  <si>
    <t xml:space="preserve">Cold Formed Materials (RISA-3D)</t>
  </si>
  <si>
    <t xml:space="preserve">Source screenshot: Materials-SS-Cold-Formed-TAB.png. Blue = transcribed input. Green = live formula check.</t>
  </si>
  <si>
    <t xml:space="preserve">A570_33</t>
  </si>
  <si>
    <t xml:space="preserve">A607_C1_55</t>
  </si>
  <si>
    <t xml:space="preserve">Wood Materials (RISA-3D)</t>
  </si>
  <si>
    <t xml:space="preserve">Source screenshot: Materials-SS-Wood-TAB.png. Blue = transcribed input. Green = live formula check.</t>
  </si>
  <si>
    <t xml:space="preserve">Type</t>
  </si>
  <si>
    <t xml:space="preserve">Database</t>
  </si>
  <si>
    <t xml:space="preserve">Species</t>
  </si>
  <si>
    <t xml:space="preserve">Grade</t>
  </si>
  <si>
    <t xml:space="preserve">Cm</t>
  </si>
  <si>
    <t xml:space="preserve">Ci</t>
  </si>
  <si>
    <t xml:space="preserve">Emod</t>
  </si>
  <si>
    <t xml:space="preserve">DF/SPine</t>
  </si>
  <si>
    <t xml:space="preserve">Solid Sawn</t>
  </si>
  <si>
    <t xml:space="preserve">Visually Graded</t>
  </si>
  <si>
    <t xml:space="preserve">Com Species Group I DF,SP</t>
  </si>
  <si>
    <t xml:space="preserve">No.1</t>
  </si>
  <si>
    <t xml:space="preserve">No</t>
  </si>
  <si>
    <t xml:space="preserve">HF/Spruce Fir</t>
  </si>
  <si>
    <t xml:space="preserve">Com Species Group II HF,SPF</t>
  </si>
  <si>
    <t xml:space="preserve">DF</t>
  </si>
  <si>
    <t xml:space="preserve">Douglas Fir-Larch</t>
  </si>
  <si>
    <t xml:space="preserve">SP</t>
  </si>
  <si>
    <t xml:space="preserve">Southern Pine</t>
  </si>
  <si>
    <t xml:space="preserve">HF</t>
  </si>
  <si>
    <t xml:space="preserve">Hem-Fir</t>
  </si>
  <si>
    <t xml:space="preserve">SPF</t>
  </si>
  <si>
    <t xml:space="preserve">Spruce-Pine-fir</t>
  </si>
  <si>
    <t xml:space="preserve">24F-1.8E DF_BAL</t>
  </si>
  <si>
    <t xml:space="preserve">Glulam</t>
  </si>
  <si>
    <t xml:space="preserve">NDS Table 5A</t>
  </si>
  <si>
    <t xml:space="preserve">24F-1.8E_DF_BAL</t>
  </si>
  <si>
    <t xml:space="preserve">na</t>
  </si>
  <si>
    <t xml:space="preserve">24F-1.8E DF_UNBAL</t>
  </si>
  <si>
    <t xml:space="preserve">24F-1.8E_DF_UNBAL</t>
  </si>
  <si>
    <t xml:space="preserve">24F-1.8E SP_BAL</t>
  </si>
  <si>
    <t xml:space="preserve">24F-1.8E_SP_BAL</t>
  </si>
  <si>
    <t xml:space="preserve">24F-1.8E SP_UNBAL</t>
  </si>
  <si>
    <t xml:space="preserve">24F-1.8E_SP_UNBAL</t>
  </si>
  <si>
    <t xml:space="preserve">LVL-PRL 1.5E_2250F</t>
  </si>
  <si>
    <t xml:space="preserve">Custom</t>
  </si>
  <si>
    <t xml:space="preserve">N/A</t>
  </si>
  <si>
    <t xml:space="preserve">LVL_PRL_1.5E_2250F</t>
  </si>
  <si>
    <t xml:space="preserve">LVL-PRL 2.0E_2900F</t>
  </si>
  <si>
    <t xml:space="preserve">LVL_PRL_2.0E_2900F</t>
  </si>
  <si>
    <t xml:space="preserve">Cm and Ci checkboxes are all unchecked in the source. Labels in rows 7 to 12 reconstructed from the Species column (truncated on screen).</t>
  </si>
  <si>
    <t xml:space="preserve">Concrete Materials (RISA-3D)</t>
  </si>
  <si>
    <t xml:space="preserve">Source screenshot: Materials-SS-Concrete-TAB.png. Blue = transcribed input. Green = live formula check.</t>
  </si>
  <si>
    <t xml:space="preserve">f'c [ksi]</t>
  </si>
  <si>
    <t xml:space="preserve">Lambda</t>
  </si>
  <si>
    <t xml:space="preserve">Flex Steel [ksi]</t>
  </si>
  <si>
    <t xml:space="preserve">Shear Steel [ksi]</t>
  </si>
  <si>
    <t xml:space="preserve">Conc3000NW</t>
  </si>
  <si>
    <t xml:space="preserve">Conc3500NW</t>
  </si>
  <si>
    <t xml:space="preserve">Conc4000NW</t>
  </si>
  <si>
    <t xml:space="preserve">Conc3000LW</t>
  </si>
  <si>
    <t xml:space="preserve">Conc3500LW</t>
  </si>
  <si>
    <t xml:space="preserve">Conc4000LW</t>
  </si>
  <si>
    <t xml:space="preserve">f'c [MPa]</t>
  </si>
  <si>
    <t xml:space="preserve">Flex Steel [MPa]</t>
  </si>
  <si>
    <t xml:space="preserve">Shear Steel [MPa]</t>
  </si>
  <si>
    <t xml:space="preserve">Masonry Materials (RISA-3D)</t>
  </si>
  <si>
    <t xml:space="preserve">Source screenshot: Materials-SS-Masonry-TAB.png. Blue = transcribed input. Green = live formula check.</t>
  </si>
  <si>
    <t xml:space="preserve">Self Weight [k/ft³]</t>
  </si>
  <si>
    <t xml:space="preserve">f'm [ksi]</t>
  </si>
  <si>
    <t xml:space="preserve">Concrete Matl</t>
  </si>
  <si>
    <t xml:space="preserve">Clay Matl</t>
  </si>
  <si>
    <t xml:space="preserve">Self Weight [kN/m³]</t>
  </si>
  <si>
    <t xml:space="preserve">f'm [MPa]</t>
  </si>
  <si>
    <t xml:space="preserve">Masonry Self Weight dialog (Masonry-Self-Weight-WND.png)</t>
  </si>
  <si>
    <t xml:space="preserve">Selected method</t>
  </si>
  <si>
    <t xml:space="preserve">Using Block and Grout Properties</t>
  </si>
  <si>
    <t xml:space="preserve">Block Material</t>
  </si>
  <si>
    <t xml:space="preserve">Conc 115 pcf</t>
  </si>
  <si>
    <t xml:space="preserve">Grout Weight</t>
  </si>
  <si>
    <t xml:space="preserve">140 pcf</t>
  </si>
  <si>
    <t xml:space="preserve">Uniform Density alternative (not selected) [k/ft³]</t>
  </si>
  <si>
    <t xml:space="preserve">Aluminum Materials (RISA-3D)</t>
  </si>
  <si>
    <t xml:space="preserve">Source screenshot: Materials-SS-Aluminum-TAB.png. Blue = transcribed input. Green = live formula check.</t>
  </si>
  <si>
    <t xml:space="preserve">Table B.4</t>
  </si>
  <si>
    <t xml:space="preserve">kt</t>
  </si>
  <si>
    <t xml:space="preserve">Ftu [ksi]</t>
  </si>
  <si>
    <t xml:space="preserve">Fty [ksi]</t>
  </si>
  <si>
    <t xml:space="preserve">Fcy [ksi]</t>
  </si>
  <si>
    <t xml:space="preserve">Fsu [ksi]</t>
  </si>
  <si>
    <t xml:space="preserve">Ct</t>
  </si>
  <si>
    <t xml:space="preserve">3003-H14</t>
  </si>
  <si>
    <t xml:space="preserve">Table B.4-1</t>
  </si>
  <si>
    <t xml:space="preserve">6061-T6</t>
  </si>
  <si>
    <t xml:space="preserve">Table B.4-2</t>
  </si>
  <si>
    <t xml:space="preserve">6063-T5</t>
  </si>
  <si>
    <t xml:space="preserve">6063-T6</t>
  </si>
  <si>
    <t xml:space="preserve">5052-H34</t>
  </si>
  <si>
    <t xml:space="preserve">6061-T6 (welded)</t>
  </si>
  <si>
    <t xml:space="preserve">Ftu [MPa]</t>
  </si>
  <si>
    <t xml:space="preserve">Fty [MPa]</t>
  </si>
  <si>
    <t xml:space="preserve">Fcy [MPa]</t>
  </si>
  <si>
    <t xml:space="preserve">Fsu [MPa]</t>
  </si>
  <si>
    <t xml:space="preserve">Row 6 label truncated on screen ('6061-T6...'); strengths match welded 6061-T6.</t>
  </si>
  <si>
    <t xml:space="preserve">Stainless Materials (RISA-3D)</t>
  </si>
  <si>
    <t xml:space="preserve">Source screenshot: Materials-SS-Stainless-TAB.png. Blue = transcribed input. Green = live formula check.</t>
  </si>
  <si>
    <t xml:space="preserve">n</t>
  </si>
  <si>
    <t xml:space="preserve">SS1</t>
  </si>
  <si>
    <t xml:space="preserve">Values as displayed. Magnitudes are SI (MPa) under ksi headers: 206.843 MPa = 30 ksi, 517.107 MPa = 75 ksi, 193,100 MPa = 28,000 ksi. Verify RISA unit setting before use.</t>
  </si>
  <si>
    <t xml:space="preserve">General Materials (RISA-3D)</t>
  </si>
  <si>
    <t xml:space="preserve">Source screenshot: Materials-SS-General-TAB.png. Blue = transcribed input. Green = live formula check.</t>
  </si>
  <si>
    <t xml:space="preserve">Plate Methodology</t>
  </si>
  <si>
    <t xml:space="preserve">gen_Conc3NW</t>
  </si>
  <si>
    <t xml:space="preserve">Isotropic</t>
  </si>
  <si>
    <t xml:space="preserve">gen_Conc4NW</t>
  </si>
  <si>
    <t xml:space="preserve">gen_Conc3LW</t>
  </si>
  <si>
    <t xml:space="preserve">gen_Conc4LW</t>
  </si>
  <si>
    <t xml:space="preserve">gen_Alum</t>
  </si>
  <si>
    <t xml:space="preserve">gen_Steel</t>
  </si>
  <si>
    <t xml:space="preserve">RIGID</t>
  </si>
  <si>
    <t xml:space="preserve">RIGID: G left blank in RISA; use for stiff links only. E shown as 1e+6 ksi.</t>
  </si>
  <si>
    <t xml:space="preserve">All Materials, flat table for the solver</t>
  </si>
  <si>
    <t xml:space="preserve">Blue = transcribed input (Imperial, columns C to I). Black = formula (Standard Metric, columns J to P, using the Conversion Factors sheet).</t>
  </si>
  <si>
    <t xml:space="preserve">Category</t>
  </si>
  <si>
    <t xml:space="preserve">Yield / f'c / f'm [ksi]</t>
  </si>
  <si>
    <t xml:space="preserve">Yield / f'c / f'm [MPa]</t>
  </si>
  <si>
    <t xml:space="preserve">Count of materials</t>
  </si>
  <si>
    <t xml:space="preserve">Stainless SS1 row shown as displayed in RISA (SI magnitudes under ksi headers); its conversions here are therefore not meaningful until the unit basis is confirmed.</t>
  </si>
  <si>
    <t xml:space="preserve">Column glossary: what each property means and how the solver uses it</t>
  </si>
  <si>
    <t xml:space="preserve">Column</t>
  </si>
  <si>
    <t xml:space="preserve">Meaning and use in the solver</t>
  </si>
  <si>
    <t xml:space="preserve">Material name the solver looks up when a member or plate references a material.</t>
  </si>
  <si>
    <t xml:space="preserve">Modulus of elasticity. Drives axial (EA) and flexural (EI) stiffness terms in the element stiffness matrix.</t>
  </si>
  <si>
    <t xml:space="preserve">Shear modulus. Drives torsional stiffness (GJ) and shear deformation. For isotropic materials G = E / (2(1+Nu)).</t>
  </si>
  <si>
    <t xml:space="preserve">Poisson's ratio. Ties G to E; also used in plate/shell stiffness.</t>
  </si>
  <si>
    <t xml:space="preserve">Coefficient of thermal expansion, in units of 1e-5 per °F. Multiply by 1e-5 before use: steel 0.65 means 6.5e-6 /°F.</t>
  </si>
  <si>
    <t xml:space="preserve">Unit weight in kips per cubic foot. Self-weight load = Density x cross-section area x length.</t>
  </si>
  <si>
    <t xml:space="preserve">Yield [ksi] / Fy</t>
  </si>
  <si>
    <t xml:space="preserve">Yield strength used by steel design checks (AISC, AISI).</t>
  </si>
  <si>
    <t xml:space="preserve">Ultimate tensile strength, used for rupture and connection checks.</t>
  </si>
  <si>
    <t xml:space="preserve">Ry, Rt</t>
  </si>
  <si>
    <t xml:space="preserve">Expected-strength factors (AISC 341): Ry x Fy = expected yield, Rt x Fu = expected tensile strength, for seismic capacity design.</t>
  </si>
  <si>
    <t xml:space="preserve">Specified compressive strength of concrete. E is derived from it: E = 57,000 x sqrt(f'c psi) for normal weight.</t>
  </si>
  <si>
    <t xml:space="preserve">Lightweight concrete modification factor (ACI 318): 1.0 normal weight, 0.75 all-lightweight.</t>
  </si>
  <si>
    <t xml:space="preserve">Flex Steel / Shear Steel [ksi]</t>
  </si>
  <si>
    <t xml:space="preserve">Yield strength of flexural and shear reinforcement used in concrete and masonry design.</t>
  </si>
  <si>
    <t xml:space="preserve">Specified compressive strength of masonry assembly; E = 900 f'm for concrete masonry and 700 f'm for clay masonry (TMS 402).</t>
  </si>
  <si>
    <t xml:space="preserve">Self Weight (masonry)</t>
  </si>
  <si>
    <t xml:space="preserve">Set to Custom: RISA computes wall weight from block material and grout weight rather than a single density.</t>
  </si>
  <si>
    <t xml:space="preserve">Type / Database / Species / Grade (wood)</t>
  </si>
  <si>
    <t xml:space="preserve">Keys into the NDS supplement tables. Design values (Fb, Fv, E) come from the table, not from this row.</t>
  </si>
  <si>
    <t xml:space="preserve">Cm, Ci (wood)</t>
  </si>
  <si>
    <t xml:space="preserve">Wet-service and incising adjustment factors, applied when checked.</t>
  </si>
  <si>
    <t xml:space="preserve">Emod (wood)</t>
  </si>
  <si>
    <t xml:space="preserve">Multiplier on the tabulated wood E, default 1.0.</t>
  </si>
  <si>
    <t xml:space="preserve">Table B.4, kt, Ct (aluminum)</t>
  </si>
  <si>
    <t xml:space="preserve">Aluminum Design Manual buckling-constant table, tension coefficient, and the compression constant Ct.</t>
  </si>
  <si>
    <t xml:space="preserve">Ftu, Fty, Fcy, Fsu (aluminum)</t>
  </si>
  <si>
    <t xml:space="preserve">Tensile ultimate, tensile yield, compressive yield, and shear ultimate strengths.</t>
  </si>
  <si>
    <t xml:space="preserve">n (stainless)</t>
  </si>
  <si>
    <t xml:space="preserve">Ramberg-Osgood strain-hardening exponent for the nonlinear stainless stress-strain curve.</t>
  </si>
  <si>
    <t xml:space="preserve">Isotropic: same E in every direction for plate/shell elements.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</si>
</sst>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0000000"/>
    <numFmt numFmtId="166" formatCode="0.000000"/>
    <numFmt numFmtId="167" formatCode="#,##0"/>
    <numFmt numFmtId="168" formatCode="0.000"/>
    <numFmt numFmtId="169" formatCode="#,##0.0"/>
    <numFmt numFmtId="170" formatCode="0.0%"/>
    <numFmt numFmtId="171" formatCode="0.0"/>
    <numFmt numFmtId="172" formatCode="0.00"/>
    <numFmt numFmtId="173" formatCode="#,##0.000"/>
    <numFmt numFmtId="174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B2C7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B2C7F"/>
        <bgColor rgb="FF333333"/>
      </patternFill>
    </fill>
    <fill>
      <patternFill patternType="solid">
        <fgColor rgb="FFF7F3FB"/>
        <bgColor rgb="FFFFFFFF"/>
      </patternFill>
    </fill>
    <fill>
      <patternFill patternType="solid">
        <fgColor rgb="FFEAF2E3"/>
        <bgColor rgb="FFF7F3FB"/>
      </patternFill>
    </fill>
    <fill>
      <patternFill patternType="solid">
        <fgColor rgb="FF2E6B2F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B2C7F"/>
          <bgColor rgb="FF000000"/>
        </patternFill>
      </fill>
    </dxf>
    <dxf>
      <fill>
        <patternFill patternType="solid">
          <fgColor rgb="FFF7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2F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2E3"/>
      <rgbColor rgb="FFF7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B2C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  <c r="B15" s="2" t="s">
        <v>13</v>
      </c>
    </row>
    <row r="16" customFormat="false" ht="15" hidden="false" customHeight="false" outlineLevel="0" collapsed="false">
      <c r="A16" s="3" t="s">
        <v>14</v>
      </c>
      <c r="B16" s="2" t="s">
        <v>15</v>
      </c>
    </row>
    <row r="17" customFormat="false" ht="15" hidden="false" customHeight="false" outlineLevel="0" collapsed="false">
      <c r="A17" s="3" t="s">
        <v>16</v>
      </c>
      <c r="B17" s="2" t="s">
        <v>17</v>
      </c>
    </row>
    <row r="18" customFormat="false" ht="15" hidden="false" customHeight="false" outlineLevel="0" collapsed="false">
      <c r="A18" s="3" t="s">
        <v>18</v>
      </c>
      <c r="B18" s="2" t="s">
        <v>19</v>
      </c>
    </row>
    <row r="19" customFormat="false" ht="15" hidden="false" customHeight="false" outlineLevel="0" collapsed="false">
      <c r="A19" s="3" t="s">
        <v>20</v>
      </c>
      <c r="B19" s="2" t="s">
        <v>21</v>
      </c>
    </row>
    <row r="20" customFormat="false" ht="15" hidden="false" customHeight="false" outlineLevel="0" collapsed="false">
      <c r="A20" s="3" t="s">
        <v>22</v>
      </c>
      <c r="B20" s="2" t="s">
        <v>23</v>
      </c>
    </row>
    <row r="21" customFormat="false" ht="15" hidden="false" customHeight="false" outlineLevel="0" collapsed="false">
      <c r="A21" s="3" t="s">
        <v>24</v>
      </c>
      <c r="B21" s="2" t="s">
        <v>25</v>
      </c>
    </row>
    <row r="22" customFormat="false" ht="15" hidden="false" customHeight="false" outlineLevel="0" collapsed="false">
      <c r="A22" s="3" t="s">
        <v>26</v>
      </c>
      <c r="B22" s="2" t="s">
        <v>27</v>
      </c>
    </row>
    <row r="23" customFormat="false" ht="15" hidden="false" customHeight="false" outlineLevel="0" collapsed="false">
      <c r="A23" s="3" t="s">
        <v>28</v>
      </c>
      <c r="B23" s="2" t="s">
        <v>29</v>
      </c>
    </row>
    <row r="24" customFormat="false" ht="15" hidden="false" customHeight="false" outlineLevel="0" collapsed="false">
      <c r="A24" s="3" t="s">
        <v>30</v>
      </c>
      <c r="B24" s="2" t="s">
        <v>31</v>
      </c>
    </row>
    <row r="25" customFormat="false" ht="15" hidden="false" customHeight="false" outlineLevel="0" collapsed="false">
      <c r="A25" s="3" t="s">
        <v>32</v>
      </c>
      <c r="B25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34</v>
      </c>
    </row>
    <row r="3" customFormat="false" ht="15" hidden="false" customHeight="false" outlineLevel="0" collapsed="false">
      <c r="A3" s="3" t="s">
        <v>35</v>
      </c>
    </row>
    <row r="4" customFormat="false" ht="15" hidden="false" customHeight="false" outlineLevel="0" collapsed="false">
      <c r="A4" s="2" t="s">
        <v>36</v>
      </c>
      <c r="B4" s="4" t="n">
        <v>25.4</v>
      </c>
      <c r="C4" s="2" t="s">
        <v>37</v>
      </c>
    </row>
    <row r="5" customFormat="false" ht="15" hidden="false" customHeight="false" outlineLevel="0" collapsed="false">
      <c r="A5" s="2" t="s">
        <v>38</v>
      </c>
      <c r="B5" s="4" t="n">
        <v>4.4482216152605</v>
      </c>
      <c r="C5" s="2" t="s">
        <v>39</v>
      </c>
    </row>
    <row r="6" customFormat="false" ht="15" hidden="false" customHeight="false" outlineLevel="0" collapsed="false">
      <c r="A6" s="2" t="s">
        <v>40</v>
      </c>
      <c r="B6" s="4" t="n">
        <v>9.80665</v>
      </c>
      <c r="C6" s="2" t="s">
        <v>41</v>
      </c>
    </row>
    <row r="7" customFormat="false" ht="15" hidden="false" customHeight="false" outlineLevel="0" collapsed="false">
      <c r="A7" s="2" t="s">
        <v>42</v>
      </c>
      <c r="B7" s="4" t="n">
        <v>1000</v>
      </c>
      <c r="C7" s="2" t="s">
        <v>43</v>
      </c>
    </row>
    <row r="8" customFormat="false" ht="15" hidden="false" customHeight="false" outlineLevel="0" collapsed="false">
      <c r="A8" s="2" t="s">
        <v>44</v>
      </c>
      <c r="B8" s="4" t="n">
        <v>12</v>
      </c>
      <c r="C8" s="2" t="s">
        <v>45</v>
      </c>
    </row>
    <row r="10" customFormat="false" ht="15" hidden="false" customHeight="false" outlineLevel="0" collapsed="false">
      <c r="A10" s="3" t="s">
        <v>46</v>
      </c>
    </row>
    <row r="11" customFormat="false" ht="15" hidden="false" customHeight="false" outlineLevel="0" collapsed="false">
      <c r="A11" s="5" t="s">
        <v>47</v>
      </c>
      <c r="B11" s="5" t="s">
        <v>48</v>
      </c>
      <c r="C11" s="5" t="s">
        <v>49</v>
      </c>
      <c r="D11" s="5" t="s">
        <v>50</v>
      </c>
      <c r="E11" s="5" t="s">
        <v>51</v>
      </c>
      <c r="F11" s="5" t="s">
        <v>52</v>
      </c>
    </row>
    <row r="12" customFormat="false" ht="15" hidden="false" customHeight="false" outlineLevel="0" collapsed="false">
      <c r="A12" s="6" t="s">
        <v>53</v>
      </c>
      <c r="B12" s="6" t="s">
        <v>45</v>
      </c>
      <c r="C12" s="6" t="s">
        <v>37</v>
      </c>
      <c r="D12" s="7" t="n">
        <f aca="false">$B$4</f>
        <v>25.4</v>
      </c>
      <c r="E12" s="7" t="n">
        <f aca="false">1/D12</f>
        <v>0.0393700787401575</v>
      </c>
      <c r="F12" s="8" t="s">
        <v>54</v>
      </c>
    </row>
    <row r="13" customFormat="false" ht="15" hidden="false" customHeight="false" outlineLevel="0" collapsed="false">
      <c r="A13" s="9" t="s">
        <v>53</v>
      </c>
      <c r="B13" s="9" t="s">
        <v>55</v>
      </c>
      <c r="C13" s="9" t="s">
        <v>56</v>
      </c>
      <c r="D13" s="10" t="n">
        <f aca="false">$B$4*$B$8/1000</f>
        <v>0.3048</v>
      </c>
      <c r="E13" s="10" t="n">
        <f aca="false">1/D13</f>
        <v>3.28083989501312</v>
      </c>
      <c r="F13" s="11" t="s">
        <v>57</v>
      </c>
    </row>
    <row r="14" customFormat="false" ht="15" hidden="false" customHeight="false" outlineLevel="0" collapsed="false">
      <c r="A14" s="6" t="s">
        <v>58</v>
      </c>
      <c r="B14" s="6" t="s">
        <v>59</v>
      </c>
      <c r="C14" s="6" t="s">
        <v>60</v>
      </c>
      <c r="D14" s="7" t="n">
        <f aca="false">$B$4^2</f>
        <v>645.16</v>
      </c>
      <c r="E14" s="7" t="n">
        <f aca="false">1/D14</f>
        <v>0.0015500031000062</v>
      </c>
      <c r="F14" s="8" t="s">
        <v>61</v>
      </c>
    </row>
    <row r="15" customFormat="false" ht="15" hidden="false" customHeight="false" outlineLevel="0" collapsed="false">
      <c r="A15" s="9" t="s">
        <v>62</v>
      </c>
      <c r="B15" s="9" t="s">
        <v>63</v>
      </c>
      <c r="C15" s="9" t="s">
        <v>64</v>
      </c>
      <c r="D15" s="10" t="n">
        <f aca="false">$B$4^4</f>
        <v>416231.4256</v>
      </c>
      <c r="E15" s="10" t="n">
        <f aca="false">1/D15</f>
        <v>2.40250961002883E-006</v>
      </c>
      <c r="F15" s="11" t="s">
        <v>65</v>
      </c>
    </row>
    <row r="16" customFormat="false" ht="15" hidden="false" customHeight="false" outlineLevel="0" collapsed="false">
      <c r="A16" s="6" t="s">
        <v>66</v>
      </c>
      <c r="B16" s="6" t="s">
        <v>67</v>
      </c>
      <c r="C16" s="6" t="s">
        <v>68</v>
      </c>
      <c r="D16" s="7" t="n">
        <f aca="false">$B$5*$B$7/1000</f>
        <v>4.4482216152605</v>
      </c>
      <c r="E16" s="7" t="n">
        <f aca="false">1/D16</f>
        <v>0.224808943099711</v>
      </c>
      <c r="F16" s="8" t="s">
        <v>69</v>
      </c>
    </row>
    <row r="17" customFormat="false" ht="15" hidden="false" customHeight="false" outlineLevel="0" collapsed="false">
      <c r="A17" s="9" t="s">
        <v>70</v>
      </c>
      <c r="B17" s="9" t="s">
        <v>71</v>
      </c>
      <c r="C17" s="9" t="s">
        <v>72</v>
      </c>
      <c r="D17" s="10" t="n">
        <f aca="false">$B$5*$B$7/1000*$B$4*$B$8/1000</f>
        <v>1.3558179483314</v>
      </c>
      <c r="E17" s="10" t="n">
        <f aca="false">1/D17</f>
        <v>0.737562149277266</v>
      </c>
      <c r="F17" s="11" t="s">
        <v>73</v>
      </c>
    </row>
    <row r="18" customFormat="false" ht="15" hidden="false" customHeight="false" outlineLevel="0" collapsed="false">
      <c r="A18" s="6" t="s">
        <v>74</v>
      </c>
      <c r="B18" s="6" t="s">
        <v>75</v>
      </c>
      <c r="C18" s="6" t="s">
        <v>76</v>
      </c>
      <c r="D18" s="7" t="n">
        <f aca="false">$B$5*$B$7/($B$4^2)</f>
        <v>6.89475729316836</v>
      </c>
      <c r="E18" s="7" t="n">
        <f aca="false">1/D18</f>
        <v>0.145037737730209</v>
      </c>
      <c r="F18" s="8" t="s">
        <v>77</v>
      </c>
    </row>
    <row r="19" customFormat="false" ht="15" hidden="false" customHeight="false" outlineLevel="0" collapsed="false">
      <c r="A19" s="9" t="s">
        <v>74</v>
      </c>
      <c r="B19" s="9" t="s">
        <v>75</v>
      </c>
      <c r="C19" s="9" t="s">
        <v>78</v>
      </c>
      <c r="D19" s="10" t="n">
        <f aca="false">$B$5*$B$7/($B$4^2)/1000</f>
        <v>0.00689475729316836</v>
      </c>
      <c r="E19" s="10" t="n">
        <f aca="false">1/D19</f>
        <v>145.037737730209</v>
      </c>
      <c r="F19" s="11" t="s">
        <v>79</v>
      </c>
    </row>
    <row r="20" customFormat="false" ht="15" hidden="false" customHeight="false" outlineLevel="0" collapsed="false">
      <c r="A20" s="6" t="s">
        <v>80</v>
      </c>
      <c r="B20" s="6" t="s">
        <v>81</v>
      </c>
      <c r="C20" s="6" t="s">
        <v>82</v>
      </c>
      <c r="D20" s="7" t="n">
        <f aca="false">$B$5*$B$7/1000/($B$4*$B$8/1000)</f>
        <v>14.5939029372064</v>
      </c>
      <c r="E20" s="7" t="n">
        <f aca="false">1/D20</f>
        <v>0.0685217658567918</v>
      </c>
      <c r="F20" s="8" t="s">
        <v>83</v>
      </c>
    </row>
    <row r="21" customFormat="false" ht="15" hidden="false" customHeight="false" outlineLevel="0" collapsed="false">
      <c r="A21" s="9" t="s">
        <v>84</v>
      </c>
      <c r="B21" s="9" t="s">
        <v>85</v>
      </c>
      <c r="C21" s="9" t="s">
        <v>86</v>
      </c>
      <c r="D21" s="10" t="n">
        <f aca="false">$B$5*$B$7/1000/(($B$4*$B$8/1000)^3)</f>
        <v>157.087463846246</v>
      </c>
      <c r="E21" s="10" t="n">
        <f aca="false">1/D21</f>
        <v>0.00636588035426416</v>
      </c>
      <c r="F21" s="11" t="s">
        <v>87</v>
      </c>
    </row>
    <row r="22" customFormat="false" ht="15" hidden="false" customHeight="false" outlineLevel="0" collapsed="false">
      <c r="A22" s="6" t="s">
        <v>88</v>
      </c>
      <c r="B22" s="6" t="s">
        <v>85</v>
      </c>
      <c r="C22" s="6" t="s">
        <v>89</v>
      </c>
      <c r="D22" s="7" t="n">
        <f aca="false">$B$5*$B$7/(($B$4*$B$8/1000)^3)/$B$6</f>
        <v>16018.4633739601</v>
      </c>
      <c r="E22" s="7" t="n">
        <f aca="false">1/D22</f>
        <v>6.24279605761446E-005</v>
      </c>
      <c r="F22" s="8" t="s">
        <v>90</v>
      </c>
    </row>
    <row r="23" customFormat="false" ht="15" hidden="false" customHeight="false" outlineLevel="0" collapsed="false">
      <c r="A23" s="9" t="s">
        <v>91</v>
      </c>
      <c r="B23" s="9" t="s">
        <v>92</v>
      </c>
      <c r="C23" s="9" t="s">
        <v>93</v>
      </c>
      <c r="D23" s="10" t="n">
        <f aca="false">1.8*10</f>
        <v>18</v>
      </c>
      <c r="E23" s="10" t="n">
        <f aca="false">1/D23</f>
        <v>0.0555555555555556</v>
      </c>
      <c r="F23" s="11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2" style="0" width="22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12" t="s">
        <v>96</v>
      </c>
    </row>
    <row r="3" customFormat="false" ht="15" hidden="false" customHeight="false" outlineLevel="0" collapsed="false">
      <c r="A3" s="3" t="s">
        <v>97</v>
      </c>
    </row>
    <row r="4" customFormat="false" ht="30" hidden="false" customHeight="true" outlineLevel="0" collapsed="false">
      <c r="A4" s="5" t="s">
        <v>98</v>
      </c>
      <c r="B4" s="5" t="s">
        <v>99</v>
      </c>
      <c r="C4" s="5" t="s">
        <v>100</v>
      </c>
      <c r="D4" s="5" t="s">
        <v>101</v>
      </c>
      <c r="E4" s="5" t="s">
        <v>102</v>
      </c>
      <c r="F4" s="5" t="s">
        <v>103</v>
      </c>
      <c r="G4" s="5" t="s">
        <v>104</v>
      </c>
      <c r="H4" s="5" t="s">
        <v>105</v>
      </c>
      <c r="I4" s="5" t="s">
        <v>106</v>
      </c>
      <c r="J4" s="5" t="s">
        <v>107</v>
      </c>
      <c r="L4" s="5" t="s">
        <v>108</v>
      </c>
      <c r="M4" s="5" t="s">
        <v>109</v>
      </c>
    </row>
    <row r="5" customFormat="false" ht="15" hidden="false" customHeight="false" outlineLevel="0" collapsed="false">
      <c r="A5" s="9" t="s">
        <v>110</v>
      </c>
      <c r="B5" s="13" t="n">
        <v>29000</v>
      </c>
      <c r="C5" s="13" t="n">
        <v>11154</v>
      </c>
      <c r="D5" s="14" t="n">
        <v>0.3</v>
      </c>
      <c r="E5" s="14" t="n">
        <v>0.65</v>
      </c>
      <c r="F5" s="14" t="n">
        <v>0.49</v>
      </c>
      <c r="G5" s="13" t="n">
        <v>36</v>
      </c>
      <c r="H5" s="14" t="n">
        <v>1.5</v>
      </c>
      <c r="I5" s="13" t="n">
        <v>58</v>
      </c>
      <c r="J5" s="14" t="n">
        <v>1.2</v>
      </c>
      <c r="L5" s="15" t="n">
        <f aca="false">B5/(2*(1+D5))</f>
        <v>11153.8461538462</v>
      </c>
      <c r="M5" s="16" t="n">
        <f aca="false">IF(ISNUMBER(C5),(C5-L5)/L5,"n/a")</f>
        <v>1.37931034482382E-005</v>
      </c>
    </row>
    <row r="6" customFormat="false" ht="15" hidden="false" customHeight="false" outlineLevel="0" collapsed="false">
      <c r="A6" s="6" t="s">
        <v>111</v>
      </c>
      <c r="B6" s="17" t="n">
        <v>29000</v>
      </c>
      <c r="C6" s="17" t="n">
        <v>11154</v>
      </c>
      <c r="D6" s="18" t="n">
        <v>0.3</v>
      </c>
      <c r="E6" s="18" t="n">
        <v>0.65</v>
      </c>
      <c r="F6" s="18" t="n">
        <v>0.49</v>
      </c>
      <c r="G6" s="17" t="n">
        <v>50</v>
      </c>
      <c r="H6" s="18" t="n">
        <v>1.1</v>
      </c>
      <c r="I6" s="17" t="n">
        <v>58</v>
      </c>
      <c r="J6" s="18" t="n">
        <v>1.2</v>
      </c>
      <c r="L6" s="15" t="n">
        <f aca="false">B6/(2*(1+D6))</f>
        <v>11153.8461538462</v>
      </c>
      <c r="M6" s="16" t="n">
        <f aca="false">IF(ISNUMBER(C6),(C6-L6)/L6,"n/a")</f>
        <v>1.37931034482382E-005</v>
      </c>
    </row>
    <row r="7" customFormat="false" ht="15" hidden="false" customHeight="false" outlineLevel="0" collapsed="false">
      <c r="A7" s="9" t="s">
        <v>112</v>
      </c>
      <c r="B7" s="13" t="n">
        <v>29000</v>
      </c>
      <c r="C7" s="13" t="n">
        <v>11154</v>
      </c>
      <c r="D7" s="14" t="n">
        <v>0.3</v>
      </c>
      <c r="E7" s="14" t="n">
        <v>0.65</v>
      </c>
      <c r="F7" s="14" t="n">
        <v>0.49</v>
      </c>
      <c r="G7" s="13" t="n">
        <v>50</v>
      </c>
      <c r="H7" s="14" t="n">
        <v>1.1</v>
      </c>
      <c r="I7" s="13" t="n">
        <v>58</v>
      </c>
      <c r="J7" s="14" t="n">
        <v>1.2</v>
      </c>
      <c r="L7" s="15" t="n">
        <f aca="false">B7/(2*(1+D7))</f>
        <v>11153.8461538462</v>
      </c>
      <c r="M7" s="16" t="n">
        <f aca="false">IF(ISNUMBER(C7),(C7-L7)/L7,"n/a")</f>
        <v>1.37931034482382E-005</v>
      </c>
    </row>
    <row r="8" customFormat="false" ht="15" hidden="false" customHeight="false" outlineLevel="0" collapsed="false">
      <c r="A8" s="6" t="s">
        <v>113</v>
      </c>
      <c r="B8" s="17" t="n">
        <v>29000</v>
      </c>
      <c r="C8" s="17" t="n">
        <v>11154</v>
      </c>
      <c r="D8" s="18" t="n">
        <v>0.3</v>
      </c>
      <c r="E8" s="18" t="n">
        <v>0.65</v>
      </c>
      <c r="F8" s="18" t="n">
        <v>0.49</v>
      </c>
      <c r="G8" s="17" t="n">
        <v>42</v>
      </c>
      <c r="H8" s="18" t="n">
        <v>1.3</v>
      </c>
      <c r="I8" s="17" t="n">
        <v>58</v>
      </c>
      <c r="J8" s="18" t="n">
        <v>1.1</v>
      </c>
      <c r="L8" s="15" t="n">
        <f aca="false">B8/(2*(1+D8))</f>
        <v>11153.8461538462</v>
      </c>
      <c r="M8" s="16" t="n">
        <f aca="false">IF(ISNUMBER(C8),(C8-L8)/L8,"n/a")</f>
        <v>1.37931034482382E-005</v>
      </c>
    </row>
    <row r="9" customFormat="false" ht="15" hidden="false" customHeight="false" outlineLevel="0" collapsed="false">
      <c r="A9" s="9" t="s">
        <v>114</v>
      </c>
      <c r="B9" s="13" t="n">
        <v>29000</v>
      </c>
      <c r="C9" s="13" t="n">
        <v>11154</v>
      </c>
      <c r="D9" s="14" t="n">
        <v>0.3</v>
      </c>
      <c r="E9" s="14" t="n">
        <v>0.65</v>
      </c>
      <c r="F9" s="14" t="n">
        <v>0.49</v>
      </c>
      <c r="G9" s="13" t="n">
        <v>46</v>
      </c>
      <c r="H9" s="14" t="n">
        <v>1.2</v>
      </c>
      <c r="I9" s="13" t="n">
        <v>58</v>
      </c>
      <c r="J9" s="14" t="n">
        <v>1.1</v>
      </c>
      <c r="L9" s="15" t="n">
        <f aca="false">B9/(2*(1+D9))</f>
        <v>11153.8461538462</v>
      </c>
      <c r="M9" s="16" t="n">
        <f aca="false">IF(ISNUMBER(C9),(C9-L9)/L9,"n/a")</f>
        <v>1.37931034482382E-005</v>
      </c>
    </row>
    <row r="11" customFormat="false" ht="15" hidden="false" customHeight="false" outlineLevel="0" collapsed="false">
      <c r="A11" s="3" t="s">
        <v>115</v>
      </c>
    </row>
    <row r="12" customFormat="false" ht="30" hidden="false" customHeight="true" outlineLevel="0" collapsed="false">
      <c r="A12" s="19" t="s">
        <v>98</v>
      </c>
      <c r="B12" s="19" t="s">
        <v>116</v>
      </c>
      <c r="C12" s="19" t="s">
        <v>117</v>
      </c>
      <c r="D12" s="19" t="s">
        <v>101</v>
      </c>
      <c r="E12" s="19" t="s">
        <v>118</v>
      </c>
      <c r="F12" s="19" t="s">
        <v>119</v>
      </c>
      <c r="G12" s="19" t="s">
        <v>120</v>
      </c>
      <c r="H12" s="19" t="s">
        <v>105</v>
      </c>
      <c r="I12" s="19" t="s">
        <v>121</v>
      </c>
      <c r="J12" s="19" t="s">
        <v>107</v>
      </c>
      <c r="K12" s="19" t="s">
        <v>122</v>
      </c>
      <c r="L12" s="19" t="s">
        <v>123</v>
      </c>
    </row>
    <row r="13" customFormat="false" ht="15" hidden="false" customHeight="false" outlineLevel="0" collapsed="false">
      <c r="A13" s="9" t="str">
        <f aca="false">IF(A5="","",A5)</f>
        <v>A36 Gr.36</v>
      </c>
      <c r="B13" s="20" t="n">
        <f aca="false">IF(B5="","",IF(ISNUMBER(B5),B5*'Conversion Factors'!$D$18,B5))</f>
        <v>199947.961501882</v>
      </c>
      <c r="C13" s="20" t="n">
        <f aca="false">IF(C5="","",IF(ISNUMBER(C5),C5*'Conversion Factors'!$D$18,C5))</f>
        <v>76904.1228479999</v>
      </c>
      <c r="D13" s="21" t="n">
        <f aca="false">IF(D5="","",D5)</f>
        <v>0.3</v>
      </c>
      <c r="E13" s="22" t="n">
        <f aca="false">IF(E5="","",IF(ISNUMBER(E5),E5*'Conversion Factors'!$D$23,E5))</f>
        <v>11.7</v>
      </c>
      <c r="F13" s="23" t="n">
        <f aca="false">IF(F5="","",IF(ISNUMBER(F5),F5*'Conversion Factors'!$D$21,F5))</f>
        <v>76.9728572846607</v>
      </c>
      <c r="G13" s="20" t="n">
        <f aca="false">IF(G5="","",IF(ISNUMBER(G5),G5*'Conversion Factors'!$D$18,G5))</f>
        <v>248.211262554061</v>
      </c>
      <c r="H13" s="21" t="n">
        <f aca="false">IF(H5="","",H5)</f>
        <v>1.5</v>
      </c>
      <c r="I13" s="20" t="n">
        <f aca="false">IF(I5="","",IF(ISNUMBER(I5),I5*'Conversion Factors'!$D$18,I5))</f>
        <v>399.895923003765</v>
      </c>
      <c r="J13" s="21" t="n">
        <f aca="false">IF(J5="","",J5)</f>
        <v>1.2</v>
      </c>
      <c r="K13" s="24" t="n">
        <f aca="false">IF(F5="","",IF(ISNUMBER(F5),F5*'Conversion Factors'!$D$22,F5))</f>
        <v>7849.04705324047</v>
      </c>
      <c r="L13" s="23" t="n">
        <f aca="false">IF(B5="","",IF(ISNUMBER(B5),B5*'Conversion Factors'!$D$18/1000,B5))</f>
        <v>199.947961501882</v>
      </c>
    </row>
    <row r="14" customFormat="false" ht="15" hidden="false" customHeight="false" outlineLevel="0" collapsed="false">
      <c r="A14" s="6" t="str">
        <f aca="false">IF(A6="","",A6)</f>
        <v>A572 Gr.50</v>
      </c>
      <c r="B14" s="25" t="n">
        <f aca="false">IF(B6="","",IF(ISNUMBER(B6),B6*'Conversion Factors'!$D$18,B6))</f>
        <v>199947.961501882</v>
      </c>
      <c r="C14" s="25" t="n">
        <f aca="false">IF(C6="","",IF(ISNUMBER(C6),C6*'Conversion Factors'!$D$18,C6))</f>
        <v>76904.1228479999</v>
      </c>
      <c r="D14" s="26" t="n">
        <f aca="false">IF(D6="","",D6)</f>
        <v>0.3</v>
      </c>
      <c r="E14" s="27" t="n">
        <f aca="false">IF(E6="","",IF(ISNUMBER(E6),E6*'Conversion Factors'!$D$23,E6))</f>
        <v>11.7</v>
      </c>
      <c r="F14" s="28" t="n">
        <f aca="false">IF(F6="","",IF(ISNUMBER(F6),F6*'Conversion Factors'!$D$21,F6))</f>
        <v>76.9728572846607</v>
      </c>
      <c r="G14" s="25" t="n">
        <f aca="false">IF(G6="","",IF(ISNUMBER(G6),G6*'Conversion Factors'!$D$18,G6))</f>
        <v>344.737864658418</v>
      </c>
      <c r="H14" s="26" t="n">
        <f aca="false">IF(H6="","",H6)</f>
        <v>1.1</v>
      </c>
      <c r="I14" s="25" t="n">
        <f aca="false">IF(I6="","",IF(ISNUMBER(I6),I6*'Conversion Factors'!$D$18,I6))</f>
        <v>399.895923003765</v>
      </c>
      <c r="J14" s="26" t="n">
        <f aca="false">IF(J6="","",J6)</f>
        <v>1.2</v>
      </c>
      <c r="K14" s="29" t="n">
        <f aca="false">IF(F6="","",IF(ISNUMBER(F6),F6*'Conversion Factors'!$D$22,F6))</f>
        <v>7849.04705324047</v>
      </c>
      <c r="L14" s="28" t="n">
        <f aca="false">IF(B6="","",IF(ISNUMBER(B6),B6*'Conversion Factors'!$D$18/1000,B6))</f>
        <v>199.947961501882</v>
      </c>
    </row>
    <row r="15" customFormat="false" ht="15" hidden="false" customHeight="false" outlineLevel="0" collapsed="false">
      <c r="A15" s="9" t="str">
        <f aca="false">IF(A7="","",A7)</f>
        <v>A992</v>
      </c>
      <c r="B15" s="20" t="n">
        <f aca="false">IF(B7="","",IF(ISNUMBER(B7),B7*'Conversion Factors'!$D$18,B7))</f>
        <v>199947.961501882</v>
      </c>
      <c r="C15" s="20" t="n">
        <f aca="false">IF(C7="","",IF(ISNUMBER(C7),C7*'Conversion Factors'!$D$18,C7))</f>
        <v>76904.1228479999</v>
      </c>
      <c r="D15" s="21" t="n">
        <f aca="false">IF(D7="","",D7)</f>
        <v>0.3</v>
      </c>
      <c r="E15" s="22" t="n">
        <f aca="false">IF(E7="","",IF(ISNUMBER(E7),E7*'Conversion Factors'!$D$23,E7))</f>
        <v>11.7</v>
      </c>
      <c r="F15" s="23" t="n">
        <f aca="false">IF(F7="","",IF(ISNUMBER(F7),F7*'Conversion Factors'!$D$21,F7))</f>
        <v>76.9728572846607</v>
      </c>
      <c r="G15" s="20" t="n">
        <f aca="false">IF(G7="","",IF(ISNUMBER(G7),G7*'Conversion Factors'!$D$18,G7))</f>
        <v>344.737864658418</v>
      </c>
      <c r="H15" s="21" t="n">
        <f aca="false">IF(H7="","",H7)</f>
        <v>1.1</v>
      </c>
      <c r="I15" s="20" t="n">
        <f aca="false">IF(I7="","",IF(ISNUMBER(I7),I7*'Conversion Factors'!$D$18,I7))</f>
        <v>399.895923003765</v>
      </c>
      <c r="J15" s="21" t="n">
        <f aca="false">IF(J7="","",J7)</f>
        <v>1.2</v>
      </c>
      <c r="K15" s="24" t="n">
        <f aca="false">IF(F7="","",IF(ISNUMBER(F7),F7*'Conversion Factors'!$D$22,F7))</f>
        <v>7849.04705324047</v>
      </c>
      <c r="L15" s="23" t="n">
        <f aca="false">IF(B7="","",IF(ISNUMBER(B7),B7*'Conversion Factors'!$D$18/1000,B7))</f>
        <v>199.947961501882</v>
      </c>
    </row>
    <row r="16" customFormat="false" ht="15" hidden="false" customHeight="false" outlineLevel="0" collapsed="false">
      <c r="A16" s="6" t="str">
        <f aca="false">IF(A8="","",A8)</f>
        <v>A500 Gr.42</v>
      </c>
      <c r="B16" s="25" t="n">
        <f aca="false">IF(B8="","",IF(ISNUMBER(B8),B8*'Conversion Factors'!$D$18,B8))</f>
        <v>199947.961501882</v>
      </c>
      <c r="C16" s="25" t="n">
        <f aca="false">IF(C8="","",IF(ISNUMBER(C8),C8*'Conversion Factors'!$D$18,C8))</f>
        <v>76904.1228479999</v>
      </c>
      <c r="D16" s="26" t="n">
        <f aca="false">IF(D8="","",D8)</f>
        <v>0.3</v>
      </c>
      <c r="E16" s="27" t="n">
        <f aca="false">IF(E8="","",IF(ISNUMBER(E8),E8*'Conversion Factors'!$D$23,E8))</f>
        <v>11.7</v>
      </c>
      <c r="F16" s="28" t="n">
        <f aca="false">IF(F8="","",IF(ISNUMBER(F8),F8*'Conversion Factors'!$D$21,F8))</f>
        <v>76.9728572846607</v>
      </c>
      <c r="G16" s="25" t="n">
        <f aca="false">IF(G8="","",IF(ISNUMBER(G8),G8*'Conversion Factors'!$D$18,G8))</f>
        <v>289.579806313071</v>
      </c>
      <c r="H16" s="26" t="n">
        <f aca="false">IF(H8="","",H8)</f>
        <v>1.3</v>
      </c>
      <c r="I16" s="25" t="n">
        <f aca="false">IF(I8="","",IF(ISNUMBER(I8),I8*'Conversion Factors'!$D$18,I8))</f>
        <v>399.895923003765</v>
      </c>
      <c r="J16" s="26" t="n">
        <f aca="false">IF(J8="","",J8)</f>
        <v>1.1</v>
      </c>
      <c r="K16" s="29" t="n">
        <f aca="false">IF(F8="","",IF(ISNUMBER(F8),F8*'Conversion Factors'!$D$22,F8))</f>
        <v>7849.04705324047</v>
      </c>
      <c r="L16" s="28" t="n">
        <f aca="false">IF(B8="","",IF(ISNUMBER(B8),B8*'Conversion Factors'!$D$18/1000,B8))</f>
        <v>199.947961501882</v>
      </c>
    </row>
    <row r="17" customFormat="false" ht="15" hidden="false" customHeight="false" outlineLevel="0" collapsed="false">
      <c r="A17" s="9" t="str">
        <f aca="false">IF(A9="","",A9)</f>
        <v>A500 Gr.46</v>
      </c>
      <c r="B17" s="20" t="n">
        <f aca="false">IF(B9="","",IF(ISNUMBER(B9),B9*'Conversion Factors'!$D$18,B9))</f>
        <v>199947.961501882</v>
      </c>
      <c r="C17" s="20" t="n">
        <f aca="false">IF(C9="","",IF(ISNUMBER(C9),C9*'Conversion Factors'!$D$18,C9))</f>
        <v>76904.1228479999</v>
      </c>
      <c r="D17" s="21" t="n">
        <f aca="false">IF(D9="","",D9)</f>
        <v>0.3</v>
      </c>
      <c r="E17" s="22" t="n">
        <f aca="false">IF(E9="","",IF(ISNUMBER(E9),E9*'Conversion Factors'!$D$23,E9))</f>
        <v>11.7</v>
      </c>
      <c r="F17" s="23" t="n">
        <f aca="false">IF(F9="","",IF(ISNUMBER(F9),F9*'Conversion Factors'!$D$21,F9))</f>
        <v>76.9728572846607</v>
      </c>
      <c r="G17" s="20" t="n">
        <f aca="false">IF(G9="","",IF(ISNUMBER(G9),G9*'Conversion Factors'!$D$18,G9))</f>
        <v>317.158835485745</v>
      </c>
      <c r="H17" s="21" t="n">
        <f aca="false">IF(H9="","",H9)</f>
        <v>1.2</v>
      </c>
      <c r="I17" s="20" t="n">
        <f aca="false">IF(I9="","",IF(ISNUMBER(I9),I9*'Conversion Factors'!$D$18,I9))</f>
        <v>399.895923003765</v>
      </c>
      <c r="J17" s="21" t="n">
        <f aca="false">IF(J9="","",J9)</f>
        <v>1.1</v>
      </c>
      <c r="K17" s="24" t="n">
        <f aca="false">IF(F9="","",IF(ISNUMBER(F9),F9*'Conversion Factors'!$D$22,F9))</f>
        <v>7849.04705324047</v>
      </c>
      <c r="L17" s="23" t="n">
        <f aca="false">IF(B9="","",IF(ISNUMBER(B9),B9*'Conversion Factors'!$D$18/1000,B9))</f>
        <v>199.947961501882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10" style="0" width="22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12" t="s">
        <v>125</v>
      </c>
    </row>
    <row r="3" customFormat="false" ht="15" hidden="false" customHeight="false" outlineLevel="0" collapsed="false">
      <c r="A3" s="3" t="s">
        <v>97</v>
      </c>
    </row>
    <row r="4" customFormat="false" ht="30" hidden="false" customHeight="true" outlineLevel="0" collapsed="false">
      <c r="A4" s="5" t="s">
        <v>98</v>
      </c>
      <c r="B4" s="5" t="s">
        <v>99</v>
      </c>
      <c r="C4" s="5" t="s">
        <v>100</v>
      </c>
      <c r="D4" s="5" t="s">
        <v>101</v>
      </c>
      <c r="E4" s="5" t="s">
        <v>102</v>
      </c>
      <c r="F4" s="5" t="s">
        <v>103</v>
      </c>
      <c r="G4" s="5" t="s">
        <v>104</v>
      </c>
      <c r="H4" s="5" t="s">
        <v>106</v>
      </c>
      <c r="J4" s="5" t="s">
        <v>108</v>
      </c>
      <c r="K4" s="5" t="s">
        <v>109</v>
      </c>
    </row>
    <row r="5" customFormat="false" ht="15" hidden="false" customHeight="false" outlineLevel="0" collapsed="false">
      <c r="A5" s="9" t="s">
        <v>126</v>
      </c>
      <c r="B5" s="13" t="n">
        <v>29500</v>
      </c>
      <c r="C5" s="13" t="n">
        <v>11346</v>
      </c>
      <c r="D5" s="14" t="n">
        <v>0.3</v>
      </c>
      <c r="E5" s="14" t="n">
        <v>0.65</v>
      </c>
      <c r="F5" s="14" t="n">
        <v>0.49</v>
      </c>
      <c r="G5" s="13" t="n">
        <v>33</v>
      </c>
      <c r="H5" s="13" t="n">
        <v>52</v>
      </c>
      <c r="J5" s="15" t="n">
        <f aca="false">B5/(2*(1+D5))</f>
        <v>11346.1538461538</v>
      </c>
      <c r="K5" s="16" t="n">
        <f aca="false">IF(ISNUMBER(C5),(C5-J5)/J5,"n/a")</f>
        <v>-1.35593220338613E-005</v>
      </c>
    </row>
    <row r="6" customFormat="false" ht="15" hidden="false" customHeight="false" outlineLevel="0" collapsed="false">
      <c r="A6" s="6" t="s">
        <v>127</v>
      </c>
      <c r="B6" s="17" t="n">
        <v>29500</v>
      </c>
      <c r="C6" s="17" t="n">
        <v>11346</v>
      </c>
      <c r="D6" s="18" t="n">
        <v>0.3</v>
      </c>
      <c r="E6" s="18" t="n">
        <v>0.65</v>
      </c>
      <c r="F6" s="18" t="n">
        <v>0.49</v>
      </c>
      <c r="G6" s="17" t="n">
        <v>55</v>
      </c>
      <c r="H6" s="17" t="n">
        <v>70</v>
      </c>
      <c r="J6" s="15" t="n">
        <f aca="false">B6/(2*(1+D6))</f>
        <v>11346.1538461538</v>
      </c>
      <c r="K6" s="16" t="n">
        <f aca="false">IF(ISNUMBER(C6),(C6-J6)/J6,"n/a")</f>
        <v>-1.35593220338613E-005</v>
      </c>
    </row>
    <row r="8" customFormat="false" ht="15" hidden="false" customHeight="false" outlineLevel="0" collapsed="false">
      <c r="A8" s="3" t="s">
        <v>115</v>
      </c>
    </row>
    <row r="9" customFormat="false" ht="30" hidden="false" customHeight="true" outlineLevel="0" collapsed="false">
      <c r="A9" s="19" t="s">
        <v>98</v>
      </c>
      <c r="B9" s="19" t="s">
        <v>116</v>
      </c>
      <c r="C9" s="19" t="s">
        <v>117</v>
      </c>
      <c r="D9" s="19" t="s">
        <v>101</v>
      </c>
      <c r="E9" s="19" t="s">
        <v>118</v>
      </c>
      <c r="F9" s="19" t="s">
        <v>119</v>
      </c>
      <c r="G9" s="19" t="s">
        <v>120</v>
      </c>
      <c r="H9" s="19" t="s">
        <v>121</v>
      </c>
      <c r="I9" s="19" t="s">
        <v>122</v>
      </c>
      <c r="J9" s="19" t="s">
        <v>123</v>
      </c>
    </row>
    <row r="10" customFormat="false" ht="15" hidden="false" customHeight="false" outlineLevel="0" collapsed="false">
      <c r="A10" s="9" t="str">
        <f aca="false">IF(A5="","",A5)</f>
        <v>A570_33</v>
      </c>
      <c r="B10" s="20" t="n">
        <f aca="false">IF(B5="","",IF(ISNUMBER(B5),B5*'Conversion Factors'!$D$18,B5))</f>
        <v>203395.340148467</v>
      </c>
      <c r="C10" s="20" t="n">
        <f aca="false">IF(C5="","",IF(ISNUMBER(C5),C5*'Conversion Factors'!$D$18,C5))</f>
        <v>78227.9162482882</v>
      </c>
      <c r="D10" s="21" t="n">
        <f aca="false">IF(D5="","",D5)</f>
        <v>0.3</v>
      </c>
      <c r="E10" s="22" t="n">
        <f aca="false">IF(E5="","",IF(ISNUMBER(E5),E5*'Conversion Factors'!$D$23,E5))</f>
        <v>11.7</v>
      </c>
      <c r="F10" s="23" t="n">
        <f aca="false">IF(F5="","",IF(ISNUMBER(F5),F5*'Conversion Factors'!$D$21,F5))</f>
        <v>76.9728572846607</v>
      </c>
      <c r="G10" s="20" t="n">
        <f aca="false">IF(G5="","",IF(ISNUMBER(G5),G5*'Conversion Factors'!$D$18,G5))</f>
        <v>227.526990674556</v>
      </c>
      <c r="H10" s="20" t="n">
        <f aca="false">IF(H5="","",IF(ISNUMBER(H5),H5*'Conversion Factors'!$D$18,H5))</f>
        <v>358.527379244755</v>
      </c>
      <c r="I10" s="24" t="n">
        <f aca="false">IF(F5="","",IF(ISNUMBER(F5),F5*'Conversion Factors'!$D$22,F5))</f>
        <v>7849.04705324047</v>
      </c>
      <c r="J10" s="23" t="n">
        <f aca="false">IF(B5="","",IF(ISNUMBER(B5),B5*'Conversion Factors'!$D$18/1000,B5))</f>
        <v>203.395340148467</v>
      </c>
    </row>
    <row r="11" customFormat="false" ht="15" hidden="false" customHeight="false" outlineLevel="0" collapsed="false">
      <c r="A11" s="6" t="str">
        <f aca="false">IF(A6="","",A6)</f>
        <v>A607_C1_55</v>
      </c>
      <c r="B11" s="25" t="n">
        <f aca="false">IF(B6="","",IF(ISNUMBER(B6),B6*'Conversion Factors'!$D$18,B6))</f>
        <v>203395.340148467</v>
      </c>
      <c r="C11" s="25" t="n">
        <f aca="false">IF(C6="","",IF(ISNUMBER(C6),C6*'Conversion Factors'!$D$18,C6))</f>
        <v>78227.9162482882</v>
      </c>
      <c r="D11" s="26" t="n">
        <f aca="false">IF(D6="","",D6)</f>
        <v>0.3</v>
      </c>
      <c r="E11" s="27" t="n">
        <f aca="false">IF(E6="","",IF(ISNUMBER(E6),E6*'Conversion Factors'!$D$23,E6))</f>
        <v>11.7</v>
      </c>
      <c r="F11" s="28" t="n">
        <f aca="false">IF(F6="","",IF(ISNUMBER(F6),F6*'Conversion Factors'!$D$21,F6))</f>
        <v>76.9728572846607</v>
      </c>
      <c r="G11" s="25" t="n">
        <f aca="false">IF(G6="","",IF(ISNUMBER(G6),G6*'Conversion Factors'!$D$18,G6))</f>
        <v>379.21165112426</v>
      </c>
      <c r="H11" s="25" t="n">
        <f aca="false">IF(H6="","",IF(ISNUMBER(H6),H6*'Conversion Factors'!$D$18,H6))</f>
        <v>482.633010521785</v>
      </c>
      <c r="I11" s="29" t="n">
        <f aca="false">IF(F6="","",IF(ISNUMBER(F6),F6*'Conversion Factors'!$D$22,F6))</f>
        <v>7849.04705324047</v>
      </c>
      <c r="J11" s="28" t="n">
        <f aca="false">IF(B6="","",IF(ISNUMBER(B6),B6*'Conversion Factors'!$D$18/1000,B6))</f>
        <v>203.395340148467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29"/>
    <col collapsed="false" customWidth="true" hidden="false" outlineLevel="0" max="9" min="5" style="0" width="8"/>
    <col collapsed="false" customWidth="true" hidden="false" outlineLevel="0" max="10" min="10" style="0" width="25"/>
    <col collapsed="false" customWidth="true" hidden="false" outlineLevel="0" max="11" min="11" style="0" width="17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12" t="s">
        <v>129</v>
      </c>
    </row>
    <row r="3" customFormat="false" ht="15" hidden="false" customHeight="false" outlineLevel="0" collapsed="false">
      <c r="A3" s="3" t="s">
        <v>97</v>
      </c>
    </row>
    <row r="4" customFormat="false" ht="30" hidden="false" customHeight="true" outlineLevel="0" collapsed="false">
      <c r="A4" s="5" t="s">
        <v>98</v>
      </c>
      <c r="B4" s="5" t="s">
        <v>130</v>
      </c>
      <c r="C4" s="5" t="s">
        <v>131</v>
      </c>
      <c r="D4" s="5" t="s">
        <v>132</v>
      </c>
      <c r="E4" s="5" t="s">
        <v>133</v>
      </c>
      <c r="F4" s="5" t="s">
        <v>134</v>
      </c>
      <c r="G4" s="5" t="s">
        <v>135</v>
      </c>
      <c r="H4" s="5" t="s">
        <v>136</v>
      </c>
      <c r="I4" s="5" t="s">
        <v>101</v>
      </c>
      <c r="J4" s="5" t="s">
        <v>102</v>
      </c>
      <c r="K4" s="5" t="s">
        <v>103</v>
      </c>
    </row>
    <row r="5" customFormat="false" ht="15" hidden="false" customHeight="false" outlineLevel="0" collapsed="false">
      <c r="A5" s="9" t="s">
        <v>137</v>
      </c>
      <c r="B5" s="9" t="s">
        <v>138</v>
      </c>
      <c r="C5" s="9" t="s">
        <v>139</v>
      </c>
      <c r="D5" s="9" t="s">
        <v>140</v>
      </c>
      <c r="E5" s="9" t="s">
        <v>141</v>
      </c>
      <c r="F5" s="9" t="s">
        <v>142</v>
      </c>
      <c r="G5" s="9" t="s">
        <v>142</v>
      </c>
      <c r="H5" s="13" t="n">
        <v>1</v>
      </c>
      <c r="I5" s="14" t="n">
        <v>0.3</v>
      </c>
      <c r="J5" s="14" t="n">
        <v>0.3</v>
      </c>
      <c r="K5" s="14" t="n">
        <v>0.035</v>
      </c>
    </row>
    <row r="6" customFormat="false" ht="15" hidden="false" customHeight="false" outlineLevel="0" collapsed="false">
      <c r="A6" s="6" t="s">
        <v>143</v>
      </c>
      <c r="B6" s="6" t="s">
        <v>138</v>
      </c>
      <c r="C6" s="6" t="s">
        <v>139</v>
      </c>
      <c r="D6" s="6" t="s">
        <v>144</v>
      </c>
      <c r="E6" s="6" t="s">
        <v>141</v>
      </c>
      <c r="F6" s="6" t="s">
        <v>142</v>
      </c>
      <c r="G6" s="6" t="s">
        <v>142</v>
      </c>
      <c r="H6" s="17" t="n">
        <v>1</v>
      </c>
      <c r="I6" s="18" t="n">
        <v>0.3</v>
      </c>
      <c r="J6" s="18" t="n">
        <v>0.3</v>
      </c>
      <c r="K6" s="18" t="n">
        <v>0.035</v>
      </c>
    </row>
    <row r="7" customFormat="false" ht="15" hidden="false" customHeight="false" outlineLevel="0" collapsed="false">
      <c r="A7" s="9" t="s">
        <v>145</v>
      </c>
      <c r="B7" s="9" t="s">
        <v>138</v>
      </c>
      <c r="C7" s="9" t="s">
        <v>139</v>
      </c>
      <c r="D7" s="9" t="s">
        <v>146</v>
      </c>
      <c r="E7" s="9" t="s">
        <v>141</v>
      </c>
      <c r="F7" s="9" t="s">
        <v>142</v>
      </c>
      <c r="G7" s="9" t="s">
        <v>142</v>
      </c>
      <c r="H7" s="13" t="n">
        <v>1</v>
      </c>
      <c r="I7" s="14" t="n">
        <v>0.3</v>
      </c>
      <c r="J7" s="14" t="n">
        <v>0.3</v>
      </c>
      <c r="K7" s="14" t="n">
        <v>0.035</v>
      </c>
    </row>
    <row r="8" customFormat="false" ht="15" hidden="false" customHeight="false" outlineLevel="0" collapsed="false">
      <c r="A8" s="6" t="s">
        <v>147</v>
      </c>
      <c r="B8" s="6" t="s">
        <v>138</v>
      </c>
      <c r="C8" s="6" t="s">
        <v>139</v>
      </c>
      <c r="D8" s="6" t="s">
        <v>148</v>
      </c>
      <c r="E8" s="6" t="s">
        <v>141</v>
      </c>
      <c r="F8" s="6" t="s">
        <v>142</v>
      </c>
      <c r="G8" s="6" t="s">
        <v>142</v>
      </c>
      <c r="H8" s="17" t="n">
        <v>1</v>
      </c>
      <c r="I8" s="18" t="n">
        <v>0.3</v>
      </c>
      <c r="J8" s="18" t="n">
        <v>0.3</v>
      </c>
      <c r="K8" s="18" t="n">
        <v>0.035</v>
      </c>
    </row>
    <row r="9" customFormat="false" ht="15" hidden="false" customHeight="false" outlineLevel="0" collapsed="false">
      <c r="A9" s="9" t="s">
        <v>149</v>
      </c>
      <c r="B9" s="9" t="s">
        <v>138</v>
      </c>
      <c r="C9" s="9" t="s">
        <v>139</v>
      </c>
      <c r="D9" s="9" t="s">
        <v>150</v>
      </c>
      <c r="E9" s="9" t="s">
        <v>141</v>
      </c>
      <c r="F9" s="9" t="s">
        <v>142</v>
      </c>
      <c r="G9" s="9" t="s">
        <v>142</v>
      </c>
      <c r="H9" s="13" t="n">
        <v>1</v>
      </c>
      <c r="I9" s="14" t="n">
        <v>0.3</v>
      </c>
      <c r="J9" s="14" t="n">
        <v>0.3</v>
      </c>
      <c r="K9" s="14" t="n">
        <v>0.035</v>
      </c>
    </row>
    <row r="10" customFormat="false" ht="15" hidden="false" customHeight="false" outlineLevel="0" collapsed="false">
      <c r="A10" s="6" t="s">
        <v>151</v>
      </c>
      <c r="B10" s="6" t="s">
        <v>138</v>
      </c>
      <c r="C10" s="6" t="s">
        <v>139</v>
      </c>
      <c r="D10" s="6" t="s">
        <v>152</v>
      </c>
      <c r="E10" s="6" t="s">
        <v>141</v>
      </c>
      <c r="F10" s="6" t="s">
        <v>142</v>
      </c>
      <c r="G10" s="6" t="s">
        <v>142</v>
      </c>
      <c r="H10" s="17" t="n">
        <v>1</v>
      </c>
      <c r="I10" s="18" t="n">
        <v>0.3</v>
      </c>
      <c r="J10" s="18" t="n">
        <v>0.3</v>
      </c>
      <c r="K10" s="18" t="n">
        <v>0.035</v>
      </c>
    </row>
    <row r="11" customFormat="false" ht="15" hidden="false" customHeight="false" outlineLevel="0" collapsed="false">
      <c r="A11" s="9" t="s">
        <v>153</v>
      </c>
      <c r="B11" s="9" t="s">
        <v>154</v>
      </c>
      <c r="C11" s="9" t="s">
        <v>155</v>
      </c>
      <c r="D11" s="9" t="s">
        <v>156</v>
      </c>
      <c r="E11" s="9" t="s">
        <v>157</v>
      </c>
      <c r="F11" s="9" t="s">
        <v>142</v>
      </c>
      <c r="G11" s="9" t="s">
        <v>142</v>
      </c>
      <c r="H11" s="13" t="n">
        <v>1</v>
      </c>
      <c r="I11" s="14" t="n">
        <v>0.3</v>
      </c>
      <c r="J11" s="14" t="n">
        <v>0.3</v>
      </c>
      <c r="K11" s="14" t="n">
        <v>0.035</v>
      </c>
    </row>
    <row r="12" customFormat="false" ht="15" hidden="false" customHeight="false" outlineLevel="0" collapsed="false">
      <c r="A12" s="6" t="s">
        <v>158</v>
      </c>
      <c r="B12" s="6" t="s">
        <v>154</v>
      </c>
      <c r="C12" s="6" t="s">
        <v>155</v>
      </c>
      <c r="D12" s="6" t="s">
        <v>159</v>
      </c>
      <c r="E12" s="6" t="s">
        <v>157</v>
      </c>
      <c r="F12" s="6" t="s">
        <v>142</v>
      </c>
      <c r="G12" s="6" t="s">
        <v>142</v>
      </c>
      <c r="H12" s="17" t="n">
        <v>1</v>
      </c>
      <c r="I12" s="18" t="n">
        <v>0.3</v>
      </c>
      <c r="J12" s="18" t="n">
        <v>0.3</v>
      </c>
      <c r="K12" s="18" t="n">
        <v>0.035</v>
      </c>
    </row>
    <row r="13" customFormat="false" ht="15" hidden="false" customHeight="false" outlineLevel="0" collapsed="false">
      <c r="A13" s="9" t="s">
        <v>160</v>
      </c>
      <c r="B13" s="9" t="s">
        <v>154</v>
      </c>
      <c r="C13" s="9" t="s">
        <v>155</v>
      </c>
      <c r="D13" s="9" t="s">
        <v>161</v>
      </c>
      <c r="E13" s="9" t="s">
        <v>157</v>
      </c>
      <c r="F13" s="9" t="s">
        <v>142</v>
      </c>
      <c r="G13" s="9" t="s">
        <v>142</v>
      </c>
      <c r="H13" s="13" t="n">
        <v>1</v>
      </c>
      <c r="I13" s="14" t="n">
        <v>0.3</v>
      </c>
      <c r="J13" s="14" t="n">
        <v>0.3</v>
      </c>
      <c r="K13" s="14" t="n">
        <v>0.035</v>
      </c>
    </row>
    <row r="14" customFormat="false" ht="15" hidden="false" customHeight="false" outlineLevel="0" collapsed="false">
      <c r="A14" s="6" t="s">
        <v>162</v>
      </c>
      <c r="B14" s="6" t="s">
        <v>154</v>
      </c>
      <c r="C14" s="6" t="s">
        <v>155</v>
      </c>
      <c r="D14" s="6" t="s">
        <v>163</v>
      </c>
      <c r="E14" s="6" t="s">
        <v>157</v>
      </c>
      <c r="F14" s="6" t="s">
        <v>142</v>
      </c>
      <c r="G14" s="6" t="s">
        <v>142</v>
      </c>
      <c r="H14" s="17" t="n">
        <v>1</v>
      </c>
      <c r="I14" s="18" t="n">
        <v>0.3</v>
      </c>
      <c r="J14" s="18" t="n">
        <v>0.3</v>
      </c>
      <c r="K14" s="18" t="n">
        <v>0.035</v>
      </c>
    </row>
    <row r="15" customFormat="false" ht="15" hidden="false" customHeight="false" outlineLevel="0" collapsed="false">
      <c r="A15" s="9" t="s">
        <v>164</v>
      </c>
      <c r="B15" s="9" t="s">
        <v>165</v>
      </c>
      <c r="C15" s="9" t="s">
        <v>166</v>
      </c>
      <c r="D15" s="9" t="s">
        <v>167</v>
      </c>
      <c r="E15" s="9" t="s">
        <v>157</v>
      </c>
      <c r="F15" s="9" t="s">
        <v>142</v>
      </c>
      <c r="G15" s="9" t="s">
        <v>142</v>
      </c>
      <c r="H15" s="13" t="n">
        <v>1</v>
      </c>
      <c r="I15" s="14" t="n">
        <v>0.3</v>
      </c>
      <c r="J15" s="14" t="n">
        <v>0.3</v>
      </c>
      <c r="K15" s="14" t="n">
        <v>0.035</v>
      </c>
    </row>
    <row r="16" customFormat="false" ht="15" hidden="false" customHeight="false" outlineLevel="0" collapsed="false">
      <c r="A16" s="6" t="s">
        <v>168</v>
      </c>
      <c r="B16" s="6" t="s">
        <v>165</v>
      </c>
      <c r="C16" s="6" t="s">
        <v>166</v>
      </c>
      <c r="D16" s="6" t="s">
        <v>169</v>
      </c>
      <c r="E16" s="6" t="s">
        <v>157</v>
      </c>
      <c r="F16" s="6" t="s">
        <v>142</v>
      </c>
      <c r="G16" s="6" t="s">
        <v>142</v>
      </c>
      <c r="H16" s="17" t="n">
        <v>1</v>
      </c>
      <c r="I16" s="18" t="n">
        <v>0.3</v>
      </c>
      <c r="J16" s="18" t="n">
        <v>0.3</v>
      </c>
      <c r="K16" s="18" t="n">
        <v>0.035</v>
      </c>
    </row>
    <row r="18" customFormat="false" ht="15" hidden="false" customHeight="false" outlineLevel="0" collapsed="false">
      <c r="A18" s="3" t="s">
        <v>115</v>
      </c>
    </row>
    <row r="19" customFormat="false" ht="30" hidden="false" customHeight="true" outlineLevel="0" collapsed="false">
      <c r="A19" s="19" t="s">
        <v>98</v>
      </c>
      <c r="B19" s="19" t="s">
        <v>130</v>
      </c>
      <c r="C19" s="19" t="s">
        <v>131</v>
      </c>
      <c r="D19" s="19" t="s">
        <v>132</v>
      </c>
      <c r="E19" s="19" t="s">
        <v>133</v>
      </c>
      <c r="F19" s="19" t="s">
        <v>134</v>
      </c>
      <c r="G19" s="19" t="s">
        <v>135</v>
      </c>
      <c r="H19" s="19" t="s">
        <v>136</v>
      </c>
      <c r="I19" s="19" t="s">
        <v>101</v>
      </c>
      <c r="J19" s="19" t="s">
        <v>118</v>
      </c>
      <c r="K19" s="19" t="s">
        <v>119</v>
      </c>
      <c r="L19" s="19" t="s">
        <v>122</v>
      </c>
    </row>
    <row r="20" customFormat="false" ht="15" hidden="false" customHeight="false" outlineLevel="0" collapsed="false">
      <c r="A20" s="9" t="str">
        <f aca="false">IF(A5="","",A5)</f>
        <v>DF/SPine</v>
      </c>
      <c r="B20" s="9" t="str">
        <f aca="false">IF(B5="","",B5)</f>
        <v>Solid Sawn</v>
      </c>
      <c r="C20" s="9" t="str">
        <f aca="false">IF(C5="","",C5)</f>
        <v>Visually Graded</v>
      </c>
      <c r="D20" s="9" t="str">
        <f aca="false">IF(D5="","",D5)</f>
        <v>Com Species Group I DF,SP</v>
      </c>
      <c r="E20" s="9" t="str">
        <f aca="false">IF(E5="","",E5)</f>
        <v>No.1</v>
      </c>
      <c r="F20" s="9" t="str">
        <f aca="false">IF(F5="","",F5)</f>
        <v>No</v>
      </c>
      <c r="G20" s="9" t="str">
        <f aca="false">IF(G5="","",G5)</f>
        <v>No</v>
      </c>
      <c r="H20" s="24" t="n">
        <f aca="false">IF(H5="","",H5)</f>
        <v>1</v>
      </c>
      <c r="I20" s="21" t="n">
        <f aca="false">IF(I5="","",I5)</f>
        <v>0.3</v>
      </c>
      <c r="J20" s="22" t="n">
        <f aca="false">IF(J5="","",IF(ISNUMBER(J5),J5*'Conversion Factors'!$D$23,J5))</f>
        <v>5.4</v>
      </c>
      <c r="K20" s="23" t="n">
        <f aca="false">IF(K5="","",IF(ISNUMBER(K5),K5*'Conversion Factors'!$D$21,K5))</f>
        <v>5.49806123461862</v>
      </c>
      <c r="L20" s="24" t="n">
        <f aca="false">IF(K5="","",IF(ISNUMBER(K5),K5*'Conversion Factors'!$D$22,K5))</f>
        <v>560.646218088605</v>
      </c>
    </row>
    <row r="21" customFormat="false" ht="15" hidden="false" customHeight="false" outlineLevel="0" collapsed="false">
      <c r="A21" s="6" t="str">
        <f aca="false">IF(A6="","",A6)</f>
        <v>HF/Spruce Fir</v>
      </c>
      <c r="B21" s="6" t="str">
        <f aca="false">IF(B6="","",B6)</f>
        <v>Solid Sawn</v>
      </c>
      <c r="C21" s="6" t="str">
        <f aca="false">IF(C6="","",C6)</f>
        <v>Visually Graded</v>
      </c>
      <c r="D21" s="6" t="str">
        <f aca="false">IF(D6="","",D6)</f>
        <v>Com Species Group II HF,SPF</v>
      </c>
      <c r="E21" s="6" t="str">
        <f aca="false">IF(E6="","",E6)</f>
        <v>No.1</v>
      </c>
      <c r="F21" s="6" t="str">
        <f aca="false">IF(F6="","",F6)</f>
        <v>No</v>
      </c>
      <c r="G21" s="6" t="str">
        <f aca="false">IF(G6="","",G6)</f>
        <v>No</v>
      </c>
      <c r="H21" s="29" t="n">
        <f aca="false">IF(H6="","",H6)</f>
        <v>1</v>
      </c>
      <c r="I21" s="26" t="n">
        <f aca="false">IF(I6="","",I6)</f>
        <v>0.3</v>
      </c>
      <c r="J21" s="27" t="n">
        <f aca="false">IF(J6="","",IF(ISNUMBER(J6),J6*'Conversion Factors'!$D$23,J6))</f>
        <v>5.4</v>
      </c>
      <c r="K21" s="28" t="n">
        <f aca="false">IF(K6="","",IF(ISNUMBER(K6),K6*'Conversion Factors'!$D$21,K6))</f>
        <v>5.49806123461862</v>
      </c>
      <c r="L21" s="29" t="n">
        <f aca="false">IF(K6="","",IF(ISNUMBER(K6),K6*'Conversion Factors'!$D$22,K6))</f>
        <v>560.646218088605</v>
      </c>
    </row>
    <row r="22" customFormat="false" ht="15" hidden="false" customHeight="false" outlineLevel="0" collapsed="false">
      <c r="A22" s="9" t="str">
        <f aca="false">IF(A7="","",A7)</f>
        <v>DF</v>
      </c>
      <c r="B22" s="9" t="str">
        <f aca="false">IF(B7="","",B7)</f>
        <v>Solid Sawn</v>
      </c>
      <c r="C22" s="9" t="str">
        <f aca="false">IF(C7="","",C7)</f>
        <v>Visually Graded</v>
      </c>
      <c r="D22" s="9" t="str">
        <f aca="false">IF(D7="","",D7)</f>
        <v>Douglas Fir-Larch</v>
      </c>
      <c r="E22" s="9" t="str">
        <f aca="false">IF(E7="","",E7)</f>
        <v>No.1</v>
      </c>
      <c r="F22" s="9" t="str">
        <f aca="false">IF(F7="","",F7)</f>
        <v>No</v>
      </c>
      <c r="G22" s="9" t="str">
        <f aca="false">IF(G7="","",G7)</f>
        <v>No</v>
      </c>
      <c r="H22" s="24" t="n">
        <f aca="false">IF(H7="","",H7)</f>
        <v>1</v>
      </c>
      <c r="I22" s="21" t="n">
        <f aca="false">IF(I7="","",I7)</f>
        <v>0.3</v>
      </c>
      <c r="J22" s="22" t="n">
        <f aca="false">IF(J7="","",IF(ISNUMBER(J7),J7*'Conversion Factors'!$D$23,J7))</f>
        <v>5.4</v>
      </c>
      <c r="K22" s="23" t="n">
        <f aca="false">IF(K7="","",IF(ISNUMBER(K7),K7*'Conversion Factors'!$D$21,K7))</f>
        <v>5.49806123461862</v>
      </c>
      <c r="L22" s="24" t="n">
        <f aca="false">IF(K7="","",IF(ISNUMBER(K7),K7*'Conversion Factors'!$D$22,K7))</f>
        <v>560.646218088605</v>
      </c>
    </row>
    <row r="23" customFormat="false" ht="15" hidden="false" customHeight="false" outlineLevel="0" collapsed="false">
      <c r="A23" s="6" t="str">
        <f aca="false">IF(A8="","",A8)</f>
        <v>SP</v>
      </c>
      <c r="B23" s="6" t="str">
        <f aca="false">IF(B8="","",B8)</f>
        <v>Solid Sawn</v>
      </c>
      <c r="C23" s="6" t="str">
        <f aca="false">IF(C8="","",C8)</f>
        <v>Visually Graded</v>
      </c>
      <c r="D23" s="6" t="str">
        <f aca="false">IF(D8="","",D8)</f>
        <v>Southern Pine</v>
      </c>
      <c r="E23" s="6" t="str">
        <f aca="false">IF(E8="","",E8)</f>
        <v>No.1</v>
      </c>
      <c r="F23" s="6" t="str">
        <f aca="false">IF(F8="","",F8)</f>
        <v>No</v>
      </c>
      <c r="G23" s="6" t="str">
        <f aca="false">IF(G8="","",G8)</f>
        <v>No</v>
      </c>
      <c r="H23" s="29" t="n">
        <f aca="false">IF(H8="","",H8)</f>
        <v>1</v>
      </c>
      <c r="I23" s="26" t="n">
        <f aca="false">IF(I8="","",I8)</f>
        <v>0.3</v>
      </c>
      <c r="J23" s="27" t="n">
        <f aca="false">IF(J8="","",IF(ISNUMBER(J8),J8*'Conversion Factors'!$D$23,J8))</f>
        <v>5.4</v>
      </c>
      <c r="K23" s="28" t="n">
        <f aca="false">IF(K8="","",IF(ISNUMBER(K8),K8*'Conversion Factors'!$D$21,K8))</f>
        <v>5.49806123461862</v>
      </c>
      <c r="L23" s="29" t="n">
        <f aca="false">IF(K8="","",IF(ISNUMBER(K8),K8*'Conversion Factors'!$D$22,K8))</f>
        <v>560.646218088605</v>
      </c>
    </row>
    <row r="24" customFormat="false" ht="15" hidden="false" customHeight="false" outlineLevel="0" collapsed="false">
      <c r="A24" s="9" t="str">
        <f aca="false">IF(A9="","",A9)</f>
        <v>HF</v>
      </c>
      <c r="B24" s="9" t="str">
        <f aca="false">IF(B9="","",B9)</f>
        <v>Solid Sawn</v>
      </c>
      <c r="C24" s="9" t="str">
        <f aca="false">IF(C9="","",C9)</f>
        <v>Visually Graded</v>
      </c>
      <c r="D24" s="9" t="str">
        <f aca="false">IF(D9="","",D9)</f>
        <v>Hem-Fir</v>
      </c>
      <c r="E24" s="9" t="str">
        <f aca="false">IF(E9="","",E9)</f>
        <v>No.1</v>
      </c>
      <c r="F24" s="9" t="str">
        <f aca="false">IF(F9="","",F9)</f>
        <v>No</v>
      </c>
      <c r="G24" s="9" t="str">
        <f aca="false">IF(G9="","",G9)</f>
        <v>No</v>
      </c>
      <c r="H24" s="24" t="n">
        <f aca="false">IF(H9="","",H9)</f>
        <v>1</v>
      </c>
      <c r="I24" s="21" t="n">
        <f aca="false">IF(I9="","",I9)</f>
        <v>0.3</v>
      </c>
      <c r="J24" s="22" t="n">
        <f aca="false">IF(J9="","",IF(ISNUMBER(J9),J9*'Conversion Factors'!$D$23,J9))</f>
        <v>5.4</v>
      </c>
      <c r="K24" s="23" t="n">
        <f aca="false">IF(K9="","",IF(ISNUMBER(K9),K9*'Conversion Factors'!$D$21,K9))</f>
        <v>5.49806123461862</v>
      </c>
      <c r="L24" s="24" t="n">
        <f aca="false">IF(K9="","",IF(ISNUMBER(K9),K9*'Conversion Factors'!$D$22,K9))</f>
        <v>560.646218088605</v>
      </c>
    </row>
    <row r="25" customFormat="false" ht="15" hidden="false" customHeight="false" outlineLevel="0" collapsed="false">
      <c r="A25" s="6" t="str">
        <f aca="false">IF(A10="","",A10)</f>
        <v>SPF</v>
      </c>
      <c r="B25" s="6" t="str">
        <f aca="false">IF(B10="","",B10)</f>
        <v>Solid Sawn</v>
      </c>
      <c r="C25" s="6" t="str">
        <f aca="false">IF(C10="","",C10)</f>
        <v>Visually Graded</v>
      </c>
      <c r="D25" s="6" t="str">
        <f aca="false">IF(D10="","",D10)</f>
        <v>Spruce-Pine-fir</v>
      </c>
      <c r="E25" s="6" t="str">
        <f aca="false">IF(E10="","",E10)</f>
        <v>No.1</v>
      </c>
      <c r="F25" s="6" t="str">
        <f aca="false">IF(F10="","",F10)</f>
        <v>No</v>
      </c>
      <c r="G25" s="6" t="str">
        <f aca="false">IF(G10="","",G10)</f>
        <v>No</v>
      </c>
      <c r="H25" s="29" t="n">
        <f aca="false">IF(H10="","",H10)</f>
        <v>1</v>
      </c>
      <c r="I25" s="26" t="n">
        <f aca="false">IF(I10="","",I10)</f>
        <v>0.3</v>
      </c>
      <c r="J25" s="27" t="n">
        <f aca="false">IF(J10="","",IF(ISNUMBER(J10),J10*'Conversion Factors'!$D$23,J10))</f>
        <v>5.4</v>
      </c>
      <c r="K25" s="28" t="n">
        <f aca="false">IF(K10="","",IF(ISNUMBER(K10),K10*'Conversion Factors'!$D$21,K10))</f>
        <v>5.49806123461862</v>
      </c>
      <c r="L25" s="29" t="n">
        <f aca="false">IF(K10="","",IF(ISNUMBER(K10),K10*'Conversion Factors'!$D$22,K10))</f>
        <v>560.646218088605</v>
      </c>
    </row>
    <row r="26" customFormat="false" ht="15" hidden="false" customHeight="false" outlineLevel="0" collapsed="false">
      <c r="A26" s="9" t="str">
        <f aca="false">IF(A11="","",A11)</f>
        <v>24F-1.8E DF_BAL</v>
      </c>
      <c r="B26" s="9" t="str">
        <f aca="false">IF(B11="","",B11)</f>
        <v>Glulam</v>
      </c>
      <c r="C26" s="9" t="str">
        <f aca="false">IF(C11="","",C11)</f>
        <v>NDS Table 5A</v>
      </c>
      <c r="D26" s="9" t="str">
        <f aca="false">IF(D11="","",D11)</f>
        <v>24F-1.8E_DF_BAL</v>
      </c>
      <c r="E26" s="9" t="str">
        <f aca="false">IF(E11="","",E11)</f>
        <v>na</v>
      </c>
      <c r="F26" s="9" t="str">
        <f aca="false">IF(F11="","",F11)</f>
        <v>No</v>
      </c>
      <c r="G26" s="9" t="str">
        <f aca="false">IF(G11="","",G11)</f>
        <v>No</v>
      </c>
      <c r="H26" s="24" t="n">
        <f aca="false">IF(H11="","",H11)</f>
        <v>1</v>
      </c>
      <c r="I26" s="21" t="n">
        <f aca="false">IF(I11="","",I11)</f>
        <v>0.3</v>
      </c>
      <c r="J26" s="22" t="n">
        <f aca="false">IF(J11="","",IF(ISNUMBER(J11),J11*'Conversion Factors'!$D$23,J11))</f>
        <v>5.4</v>
      </c>
      <c r="K26" s="23" t="n">
        <f aca="false">IF(K11="","",IF(ISNUMBER(K11),K11*'Conversion Factors'!$D$21,K11))</f>
        <v>5.49806123461862</v>
      </c>
      <c r="L26" s="24" t="n">
        <f aca="false">IF(K11="","",IF(ISNUMBER(K11),K11*'Conversion Factors'!$D$22,K11))</f>
        <v>560.646218088605</v>
      </c>
    </row>
    <row r="27" customFormat="false" ht="15" hidden="false" customHeight="false" outlineLevel="0" collapsed="false">
      <c r="A27" s="6" t="str">
        <f aca="false">IF(A12="","",A12)</f>
        <v>24F-1.8E DF_UNBAL</v>
      </c>
      <c r="B27" s="6" t="str">
        <f aca="false">IF(B12="","",B12)</f>
        <v>Glulam</v>
      </c>
      <c r="C27" s="6" t="str">
        <f aca="false">IF(C12="","",C12)</f>
        <v>NDS Table 5A</v>
      </c>
      <c r="D27" s="6" t="str">
        <f aca="false">IF(D12="","",D12)</f>
        <v>24F-1.8E_DF_UNBAL</v>
      </c>
      <c r="E27" s="6" t="str">
        <f aca="false">IF(E12="","",E12)</f>
        <v>na</v>
      </c>
      <c r="F27" s="6" t="str">
        <f aca="false">IF(F12="","",F12)</f>
        <v>No</v>
      </c>
      <c r="G27" s="6" t="str">
        <f aca="false">IF(G12="","",G12)</f>
        <v>No</v>
      </c>
      <c r="H27" s="29" t="n">
        <f aca="false">IF(H12="","",H12)</f>
        <v>1</v>
      </c>
      <c r="I27" s="26" t="n">
        <f aca="false">IF(I12="","",I12)</f>
        <v>0.3</v>
      </c>
      <c r="J27" s="27" t="n">
        <f aca="false">IF(J12="","",IF(ISNUMBER(J12),J12*'Conversion Factors'!$D$23,J12))</f>
        <v>5.4</v>
      </c>
      <c r="K27" s="28" t="n">
        <f aca="false">IF(K12="","",IF(ISNUMBER(K12),K12*'Conversion Factors'!$D$21,K12))</f>
        <v>5.49806123461862</v>
      </c>
      <c r="L27" s="29" t="n">
        <f aca="false">IF(K12="","",IF(ISNUMBER(K12),K12*'Conversion Factors'!$D$22,K12))</f>
        <v>560.646218088605</v>
      </c>
    </row>
    <row r="28" customFormat="false" ht="15" hidden="false" customHeight="false" outlineLevel="0" collapsed="false">
      <c r="A28" s="9" t="str">
        <f aca="false">IF(A13="","",A13)</f>
        <v>24F-1.8E SP_BAL</v>
      </c>
      <c r="B28" s="9" t="str">
        <f aca="false">IF(B13="","",B13)</f>
        <v>Glulam</v>
      </c>
      <c r="C28" s="9" t="str">
        <f aca="false">IF(C13="","",C13)</f>
        <v>NDS Table 5A</v>
      </c>
      <c r="D28" s="9" t="str">
        <f aca="false">IF(D13="","",D13)</f>
        <v>24F-1.8E_SP_BAL</v>
      </c>
      <c r="E28" s="9" t="str">
        <f aca="false">IF(E13="","",E13)</f>
        <v>na</v>
      </c>
      <c r="F28" s="9" t="str">
        <f aca="false">IF(F13="","",F13)</f>
        <v>No</v>
      </c>
      <c r="G28" s="9" t="str">
        <f aca="false">IF(G13="","",G13)</f>
        <v>No</v>
      </c>
      <c r="H28" s="24" t="n">
        <f aca="false">IF(H13="","",H13)</f>
        <v>1</v>
      </c>
      <c r="I28" s="21" t="n">
        <f aca="false">IF(I13="","",I13)</f>
        <v>0.3</v>
      </c>
      <c r="J28" s="22" t="n">
        <f aca="false">IF(J13="","",IF(ISNUMBER(J13),J13*'Conversion Factors'!$D$23,J13))</f>
        <v>5.4</v>
      </c>
      <c r="K28" s="23" t="n">
        <f aca="false">IF(K13="","",IF(ISNUMBER(K13),K13*'Conversion Factors'!$D$21,K13))</f>
        <v>5.49806123461862</v>
      </c>
      <c r="L28" s="24" t="n">
        <f aca="false">IF(K13="","",IF(ISNUMBER(K13),K13*'Conversion Factors'!$D$22,K13))</f>
        <v>560.646218088605</v>
      </c>
    </row>
    <row r="29" customFormat="false" ht="15" hidden="false" customHeight="false" outlineLevel="0" collapsed="false">
      <c r="A29" s="6" t="str">
        <f aca="false">IF(A14="","",A14)</f>
        <v>24F-1.8E SP_UNBAL</v>
      </c>
      <c r="B29" s="6" t="str">
        <f aca="false">IF(B14="","",B14)</f>
        <v>Glulam</v>
      </c>
      <c r="C29" s="6" t="str">
        <f aca="false">IF(C14="","",C14)</f>
        <v>NDS Table 5A</v>
      </c>
      <c r="D29" s="6" t="str">
        <f aca="false">IF(D14="","",D14)</f>
        <v>24F-1.8E_SP_UNBAL</v>
      </c>
      <c r="E29" s="6" t="str">
        <f aca="false">IF(E14="","",E14)</f>
        <v>na</v>
      </c>
      <c r="F29" s="6" t="str">
        <f aca="false">IF(F14="","",F14)</f>
        <v>No</v>
      </c>
      <c r="G29" s="6" t="str">
        <f aca="false">IF(G14="","",G14)</f>
        <v>No</v>
      </c>
      <c r="H29" s="29" t="n">
        <f aca="false">IF(H14="","",H14)</f>
        <v>1</v>
      </c>
      <c r="I29" s="26" t="n">
        <f aca="false">IF(I14="","",I14)</f>
        <v>0.3</v>
      </c>
      <c r="J29" s="27" t="n">
        <f aca="false">IF(J14="","",IF(ISNUMBER(J14),J14*'Conversion Factors'!$D$23,J14))</f>
        <v>5.4</v>
      </c>
      <c r="K29" s="28" t="n">
        <f aca="false">IF(K14="","",IF(ISNUMBER(K14),K14*'Conversion Factors'!$D$21,K14))</f>
        <v>5.49806123461862</v>
      </c>
      <c r="L29" s="29" t="n">
        <f aca="false">IF(K14="","",IF(ISNUMBER(K14),K14*'Conversion Factors'!$D$22,K14))</f>
        <v>560.646218088605</v>
      </c>
    </row>
    <row r="30" customFormat="false" ht="15" hidden="false" customHeight="false" outlineLevel="0" collapsed="false">
      <c r="A30" s="9" t="str">
        <f aca="false">IF(A15="","",A15)</f>
        <v>LVL-PRL 1.5E_2250F</v>
      </c>
      <c r="B30" s="9" t="str">
        <f aca="false">IF(B15="","",B15)</f>
        <v>Custom</v>
      </c>
      <c r="C30" s="9" t="str">
        <f aca="false">IF(C15="","",C15)</f>
        <v>N/A</v>
      </c>
      <c r="D30" s="9" t="str">
        <f aca="false">IF(D15="","",D15)</f>
        <v>LVL_PRL_1.5E_2250F</v>
      </c>
      <c r="E30" s="9" t="str">
        <f aca="false">IF(E15="","",E15)</f>
        <v>na</v>
      </c>
      <c r="F30" s="9" t="str">
        <f aca="false">IF(F15="","",F15)</f>
        <v>No</v>
      </c>
      <c r="G30" s="9" t="str">
        <f aca="false">IF(G15="","",G15)</f>
        <v>No</v>
      </c>
      <c r="H30" s="24" t="n">
        <f aca="false">IF(H15="","",H15)</f>
        <v>1</v>
      </c>
      <c r="I30" s="21" t="n">
        <f aca="false">IF(I15="","",I15)</f>
        <v>0.3</v>
      </c>
      <c r="J30" s="22" t="n">
        <f aca="false">IF(J15="","",IF(ISNUMBER(J15),J15*'Conversion Factors'!$D$23,J15))</f>
        <v>5.4</v>
      </c>
      <c r="K30" s="23" t="n">
        <f aca="false">IF(K15="","",IF(ISNUMBER(K15),K15*'Conversion Factors'!$D$21,K15))</f>
        <v>5.49806123461862</v>
      </c>
      <c r="L30" s="24" t="n">
        <f aca="false">IF(K15="","",IF(ISNUMBER(K15),K15*'Conversion Factors'!$D$22,K15))</f>
        <v>560.646218088605</v>
      </c>
    </row>
    <row r="31" customFormat="false" ht="15" hidden="false" customHeight="false" outlineLevel="0" collapsed="false">
      <c r="A31" s="6" t="str">
        <f aca="false">IF(A16="","",A16)</f>
        <v>LVL-PRL 2.0E_2900F</v>
      </c>
      <c r="B31" s="6" t="str">
        <f aca="false">IF(B16="","",B16)</f>
        <v>Custom</v>
      </c>
      <c r="C31" s="6" t="str">
        <f aca="false">IF(C16="","",C16)</f>
        <v>N/A</v>
      </c>
      <c r="D31" s="6" t="str">
        <f aca="false">IF(D16="","",D16)</f>
        <v>LVL_PRL_2.0E_2900F</v>
      </c>
      <c r="E31" s="6" t="str">
        <f aca="false">IF(E16="","",E16)</f>
        <v>na</v>
      </c>
      <c r="F31" s="6" t="str">
        <f aca="false">IF(F16="","",F16)</f>
        <v>No</v>
      </c>
      <c r="G31" s="6" t="str">
        <f aca="false">IF(G16="","",G16)</f>
        <v>No</v>
      </c>
      <c r="H31" s="29" t="n">
        <f aca="false">IF(H16="","",H16)</f>
        <v>1</v>
      </c>
      <c r="I31" s="26" t="n">
        <f aca="false">IF(I16="","",I16)</f>
        <v>0.3</v>
      </c>
      <c r="J31" s="27" t="n">
        <f aca="false">IF(J16="","",IF(ISNUMBER(J16),J16*'Conversion Factors'!$D$23,J16))</f>
        <v>5.4</v>
      </c>
      <c r="K31" s="28" t="n">
        <f aca="false">IF(K16="","",IF(ISNUMBER(K16),K16*'Conversion Factors'!$D$21,K16))</f>
        <v>5.49806123461862</v>
      </c>
      <c r="L31" s="29" t="n">
        <f aca="false">IF(K16="","",IF(ISNUMBER(K16),K16*'Conversion Factors'!$D$22,K16))</f>
        <v>560.646218088605</v>
      </c>
    </row>
    <row r="33" customFormat="false" ht="15" hidden="false" customHeight="false" outlineLevel="0" collapsed="false">
      <c r="A33" s="1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8"/>
    <col collapsed="false" customWidth="true" hidden="false" outlineLevel="0" max="10" min="10" style="0" width="19"/>
    <col collapsed="false" customWidth="true" hidden="false" outlineLevel="0" max="12" min="12" style="0" width="22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12" t="s">
        <v>172</v>
      </c>
    </row>
    <row r="3" customFormat="false" ht="15" hidden="false" customHeight="false" outlineLevel="0" collapsed="false">
      <c r="A3" s="3" t="s">
        <v>97</v>
      </c>
    </row>
    <row r="4" customFormat="false" ht="30" hidden="false" customHeight="true" outlineLevel="0" collapsed="false">
      <c r="A4" s="5" t="s">
        <v>98</v>
      </c>
      <c r="B4" s="5" t="s">
        <v>99</v>
      </c>
      <c r="C4" s="5" t="s">
        <v>100</v>
      </c>
      <c r="D4" s="5" t="s">
        <v>101</v>
      </c>
      <c r="E4" s="5" t="s">
        <v>102</v>
      </c>
      <c r="F4" s="5" t="s">
        <v>103</v>
      </c>
      <c r="G4" s="5" t="s">
        <v>173</v>
      </c>
      <c r="H4" s="5" t="s">
        <v>174</v>
      </c>
      <c r="I4" s="5" t="s">
        <v>175</v>
      </c>
      <c r="J4" s="5" t="s">
        <v>176</v>
      </c>
      <c r="L4" s="5" t="s">
        <v>108</v>
      </c>
      <c r="M4" s="5" t="s">
        <v>109</v>
      </c>
    </row>
    <row r="5" customFormat="false" ht="15" hidden="false" customHeight="false" outlineLevel="0" collapsed="false">
      <c r="A5" s="9" t="s">
        <v>177</v>
      </c>
      <c r="B5" s="13" t="n">
        <v>3156</v>
      </c>
      <c r="C5" s="13" t="n">
        <v>1372</v>
      </c>
      <c r="D5" s="14" t="n">
        <v>0.15</v>
      </c>
      <c r="E5" s="14" t="n">
        <v>0.6</v>
      </c>
      <c r="F5" s="14" t="n">
        <v>0.145</v>
      </c>
      <c r="G5" s="13" t="n">
        <v>3</v>
      </c>
      <c r="H5" s="13" t="n">
        <v>1</v>
      </c>
      <c r="I5" s="13" t="n">
        <v>60</v>
      </c>
      <c r="J5" s="13" t="n">
        <v>60</v>
      </c>
      <c r="L5" s="15" t="n">
        <f aca="false">B5/(2*(1+D5))</f>
        <v>1372.17391304348</v>
      </c>
      <c r="M5" s="16" t="n">
        <f aca="false">IF(ISNUMBER(C5),(C5-L5)/L5,"n/a")</f>
        <v>-0.000126742712294202</v>
      </c>
    </row>
    <row r="6" customFormat="false" ht="15" hidden="false" customHeight="false" outlineLevel="0" collapsed="false">
      <c r="A6" s="6" t="s">
        <v>178</v>
      </c>
      <c r="B6" s="17" t="n">
        <v>3409</v>
      </c>
      <c r="C6" s="17" t="n">
        <v>1482</v>
      </c>
      <c r="D6" s="18" t="n">
        <v>0.15</v>
      </c>
      <c r="E6" s="18" t="n">
        <v>0.6</v>
      </c>
      <c r="F6" s="18" t="n">
        <v>0.145</v>
      </c>
      <c r="G6" s="18" t="n">
        <v>3.5</v>
      </c>
      <c r="H6" s="17" t="n">
        <v>1</v>
      </c>
      <c r="I6" s="17" t="n">
        <v>60</v>
      </c>
      <c r="J6" s="17" t="n">
        <v>60</v>
      </c>
      <c r="L6" s="15" t="n">
        <f aca="false">B6/(2*(1+D6))</f>
        <v>1482.17391304348</v>
      </c>
      <c r="M6" s="16" t="n">
        <f aca="false">IF(ISNUMBER(C6),(C6-L6)/L6,"n/a")</f>
        <v>-0.000117336462305808</v>
      </c>
    </row>
    <row r="7" customFormat="false" ht="15" hidden="false" customHeight="false" outlineLevel="0" collapsed="false">
      <c r="A7" s="9" t="s">
        <v>179</v>
      </c>
      <c r="B7" s="13" t="n">
        <v>3644</v>
      </c>
      <c r="C7" s="13" t="n">
        <v>1584</v>
      </c>
      <c r="D7" s="14" t="n">
        <v>0.15</v>
      </c>
      <c r="E7" s="14" t="n">
        <v>0.6</v>
      </c>
      <c r="F7" s="14" t="n">
        <v>0.145</v>
      </c>
      <c r="G7" s="13" t="n">
        <v>4</v>
      </c>
      <c r="H7" s="13" t="n">
        <v>1</v>
      </c>
      <c r="I7" s="13" t="n">
        <v>60</v>
      </c>
      <c r="J7" s="13" t="n">
        <v>60</v>
      </c>
      <c r="L7" s="15" t="n">
        <f aca="false">B7/(2*(1+D7))</f>
        <v>1584.34782608696</v>
      </c>
      <c r="M7" s="16" t="n">
        <f aca="false">IF(ISNUMBER(C7),(C7-L7)/L7,"n/a")</f>
        <v>-0.000219538968166981</v>
      </c>
    </row>
    <row r="8" customFormat="false" ht="15" hidden="false" customHeight="false" outlineLevel="0" collapsed="false">
      <c r="A8" s="6" t="s">
        <v>180</v>
      </c>
      <c r="B8" s="17" t="n">
        <v>2085</v>
      </c>
      <c r="C8" s="17" t="n">
        <v>907</v>
      </c>
      <c r="D8" s="18" t="n">
        <v>0.15</v>
      </c>
      <c r="E8" s="18" t="n">
        <v>0.6</v>
      </c>
      <c r="F8" s="18" t="n">
        <v>0.11</v>
      </c>
      <c r="G8" s="17" t="n">
        <v>3</v>
      </c>
      <c r="H8" s="18" t="n">
        <v>0.75</v>
      </c>
      <c r="I8" s="17" t="n">
        <v>60</v>
      </c>
      <c r="J8" s="17" t="n">
        <v>60</v>
      </c>
      <c r="L8" s="15" t="n">
        <f aca="false">B8/(2*(1+D8))</f>
        <v>906.521739130435</v>
      </c>
      <c r="M8" s="16" t="n">
        <f aca="false">IF(ISNUMBER(C8),(C8-L8)/L8,"n/a")</f>
        <v>0.000527577937649787</v>
      </c>
    </row>
    <row r="9" customFormat="false" ht="15" hidden="false" customHeight="false" outlineLevel="0" collapsed="false">
      <c r="A9" s="9" t="s">
        <v>181</v>
      </c>
      <c r="B9" s="13" t="n">
        <v>2252</v>
      </c>
      <c r="C9" s="13" t="n">
        <v>979</v>
      </c>
      <c r="D9" s="14" t="n">
        <v>0.15</v>
      </c>
      <c r="E9" s="14" t="n">
        <v>0.6</v>
      </c>
      <c r="F9" s="14" t="n">
        <v>0.11</v>
      </c>
      <c r="G9" s="14" t="n">
        <v>3.5</v>
      </c>
      <c r="H9" s="14" t="n">
        <v>0.75</v>
      </c>
      <c r="I9" s="13" t="n">
        <v>60</v>
      </c>
      <c r="J9" s="13" t="n">
        <v>60</v>
      </c>
      <c r="L9" s="15" t="n">
        <f aca="false">B9/(2*(1+D9))</f>
        <v>979.130434782609</v>
      </c>
      <c r="M9" s="16" t="n">
        <f aca="false">IF(ISNUMBER(C9),(C9-L9)/L9,"n/a")</f>
        <v>-0.000133214920071098</v>
      </c>
    </row>
    <row r="10" customFormat="false" ht="15" hidden="false" customHeight="false" outlineLevel="0" collapsed="false">
      <c r="A10" s="6" t="s">
        <v>182</v>
      </c>
      <c r="B10" s="17" t="n">
        <v>2408</v>
      </c>
      <c r="C10" s="17" t="n">
        <v>1047</v>
      </c>
      <c r="D10" s="18" t="n">
        <v>0.15</v>
      </c>
      <c r="E10" s="18" t="n">
        <v>0.6</v>
      </c>
      <c r="F10" s="18" t="n">
        <v>0.11</v>
      </c>
      <c r="G10" s="17" t="n">
        <v>4</v>
      </c>
      <c r="H10" s="18" t="n">
        <v>0.75</v>
      </c>
      <c r="I10" s="17" t="n">
        <v>60</v>
      </c>
      <c r="J10" s="17" t="n">
        <v>60</v>
      </c>
      <c r="L10" s="15" t="n">
        <f aca="false">B10/(2*(1+D10))</f>
        <v>1046.95652173913</v>
      </c>
      <c r="M10" s="16" t="n">
        <f aca="false">IF(ISNUMBER(C10),(C10-L10)/L10,"n/a")</f>
        <v>4.15282392026012E-005</v>
      </c>
    </row>
    <row r="12" customFormat="false" ht="15" hidden="false" customHeight="false" outlineLevel="0" collapsed="false">
      <c r="A12" s="3" t="s">
        <v>115</v>
      </c>
    </row>
    <row r="13" customFormat="false" ht="30" hidden="false" customHeight="true" outlineLevel="0" collapsed="false">
      <c r="A13" s="19" t="s">
        <v>98</v>
      </c>
      <c r="B13" s="19" t="s">
        <v>116</v>
      </c>
      <c r="C13" s="19" t="s">
        <v>117</v>
      </c>
      <c r="D13" s="19" t="s">
        <v>101</v>
      </c>
      <c r="E13" s="19" t="s">
        <v>118</v>
      </c>
      <c r="F13" s="19" t="s">
        <v>119</v>
      </c>
      <c r="G13" s="19" t="s">
        <v>183</v>
      </c>
      <c r="H13" s="19" t="s">
        <v>174</v>
      </c>
      <c r="I13" s="19" t="s">
        <v>184</v>
      </c>
      <c r="J13" s="19" t="s">
        <v>185</v>
      </c>
      <c r="K13" s="19" t="s">
        <v>122</v>
      </c>
      <c r="L13" s="19" t="s">
        <v>123</v>
      </c>
    </row>
    <row r="14" customFormat="false" ht="15" hidden="false" customHeight="false" outlineLevel="0" collapsed="false">
      <c r="A14" s="9" t="str">
        <f aca="false">IF(A5="","",A5)</f>
        <v>Conc3000NW</v>
      </c>
      <c r="B14" s="20" t="n">
        <f aca="false">IF(B5="","",IF(ISNUMBER(B5),B5*'Conversion Factors'!$D$18,B5))</f>
        <v>21759.8540172393</v>
      </c>
      <c r="C14" s="20" t="n">
        <f aca="false">IF(C5="","",IF(ISNUMBER(C5),C5*'Conversion Factors'!$D$18,C5))</f>
        <v>9459.60700622699</v>
      </c>
      <c r="D14" s="21" t="n">
        <f aca="false">IF(D5="","",D5)</f>
        <v>0.15</v>
      </c>
      <c r="E14" s="22" t="n">
        <f aca="false">IF(E5="","",IF(ISNUMBER(E5),E5*'Conversion Factors'!$D$23,E5))</f>
        <v>10.8</v>
      </c>
      <c r="F14" s="23" t="n">
        <f aca="false">IF(F5="","",IF(ISNUMBER(F5),F5*'Conversion Factors'!$D$21,F5))</f>
        <v>22.7776822577057</v>
      </c>
      <c r="G14" s="20" t="n">
        <f aca="false">IF(G5="","",IF(ISNUMBER(G5),G5*'Conversion Factors'!$D$18,G5))</f>
        <v>20.6842718795051</v>
      </c>
      <c r="H14" s="24" t="n">
        <f aca="false">IF(H5="","",H5)</f>
        <v>1</v>
      </c>
      <c r="I14" s="20" t="n">
        <f aca="false">IF(I5="","",IF(ISNUMBER(I5),I5*'Conversion Factors'!$D$18,I5))</f>
        <v>413.685437590102</v>
      </c>
      <c r="J14" s="20" t="n">
        <f aca="false">IF(J5="","",IF(ISNUMBER(J5),J5*'Conversion Factors'!$D$18,J5))</f>
        <v>413.685437590102</v>
      </c>
      <c r="K14" s="24" t="n">
        <f aca="false">IF(F5="","",IF(ISNUMBER(F5),F5*'Conversion Factors'!$D$22,F5))</f>
        <v>2322.67718922422</v>
      </c>
      <c r="L14" s="23" t="n">
        <f aca="false">IF(B5="","",IF(ISNUMBER(B5),B5*'Conversion Factors'!$D$18/1000,B5))</f>
        <v>21.7598540172394</v>
      </c>
    </row>
    <row r="15" customFormat="false" ht="15" hidden="false" customHeight="false" outlineLevel="0" collapsed="false">
      <c r="A15" s="6" t="str">
        <f aca="false">IF(A6="","",A6)</f>
        <v>Conc3500NW</v>
      </c>
      <c r="B15" s="25" t="n">
        <f aca="false">IF(B6="","",IF(ISNUMBER(B6),B6*'Conversion Factors'!$D$18,B6))</f>
        <v>23504.2276124109</v>
      </c>
      <c r="C15" s="25" t="n">
        <f aca="false">IF(C6="","",IF(ISNUMBER(C6),C6*'Conversion Factors'!$D$18,C6))</f>
        <v>10218.0303084755</v>
      </c>
      <c r="D15" s="26" t="n">
        <f aca="false">IF(D6="","",D6)</f>
        <v>0.15</v>
      </c>
      <c r="E15" s="27" t="n">
        <f aca="false">IF(E6="","",IF(ISNUMBER(E6),E6*'Conversion Factors'!$D$23,E6))</f>
        <v>10.8</v>
      </c>
      <c r="F15" s="28" t="n">
        <f aca="false">IF(F6="","",IF(ISNUMBER(F6),F6*'Conversion Factors'!$D$21,F6))</f>
        <v>22.7776822577057</v>
      </c>
      <c r="G15" s="25" t="n">
        <f aca="false">IF(G6="","",IF(ISNUMBER(G6),G6*'Conversion Factors'!$D$18,G6))</f>
        <v>24.1316505260893</v>
      </c>
      <c r="H15" s="29" t="n">
        <f aca="false">IF(H6="","",H6)</f>
        <v>1</v>
      </c>
      <c r="I15" s="25" t="n">
        <f aca="false">IF(I6="","",IF(ISNUMBER(I6),I6*'Conversion Factors'!$D$18,I6))</f>
        <v>413.685437590102</v>
      </c>
      <c r="J15" s="25" t="n">
        <f aca="false">IF(J6="","",IF(ISNUMBER(J6),J6*'Conversion Factors'!$D$18,J6))</f>
        <v>413.685437590102</v>
      </c>
      <c r="K15" s="29" t="n">
        <f aca="false">IF(F6="","",IF(ISNUMBER(F6),F6*'Conversion Factors'!$D$22,F6))</f>
        <v>2322.67718922422</v>
      </c>
      <c r="L15" s="28" t="n">
        <f aca="false">IF(B6="","",IF(ISNUMBER(B6),B6*'Conversion Factors'!$D$18/1000,B6))</f>
        <v>23.5042276124109</v>
      </c>
    </row>
    <row r="16" customFormat="false" ht="15" hidden="false" customHeight="false" outlineLevel="0" collapsed="false">
      <c r="A16" s="9" t="str">
        <f aca="false">IF(A7="","",A7)</f>
        <v>Conc4000NW</v>
      </c>
      <c r="B16" s="20" t="n">
        <f aca="false">IF(B7="","",IF(ISNUMBER(B7),B7*'Conversion Factors'!$D$18,B7))</f>
        <v>25124.4955763055</v>
      </c>
      <c r="C16" s="20" t="n">
        <f aca="false">IF(C7="","",IF(ISNUMBER(C7),C7*'Conversion Factors'!$D$18,C7))</f>
        <v>10921.2955523787</v>
      </c>
      <c r="D16" s="21" t="n">
        <f aca="false">IF(D7="","",D7)</f>
        <v>0.15</v>
      </c>
      <c r="E16" s="22" t="n">
        <f aca="false">IF(E7="","",IF(ISNUMBER(E7),E7*'Conversion Factors'!$D$23,E7))</f>
        <v>10.8</v>
      </c>
      <c r="F16" s="23" t="n">
        <f aca="false">IF(F7="","",IF(ISNUMBER(F7),F7*'Conversion Factors'!$D$21,F7))</f>
        <v>22.7776822577057</v>
      </c>
      <c r="G16" s="20" t="n">
        <f aca="false">IF(G7="","",IF(ISNUMBER(G7),G7*'Conversion Factors'!$D$18,G7))</f>
        <v>27.5790291726734</v>
      </c>
      <c r="H16" s="24" t="n">
        <f aca="false">IF(H7="","",H7)</f>
        <v>1</v>
      </c>
      <c r="I16" s="20" t="n">
        <f aca="false">IF(I7="","",IF(ISNUMBER(I7),I7*'Conversion Factors'!$D$18,I7))</f>
        <v>413.685437590102</v>
      </c>
      <c r="J16" s="20" t="n">
        <f aca="false">IF(J7="","",IF(ISNUMBER(J7),J7*'Conversion Factors'!$D$18,J7))</f>
        <v>413.685437590102</v>
      </c>
      <c r="K16" s="24" t="n">
        <f aca="false">IF(F7="","",IF(ISNUMBER(F7),F7*'Conversion Factors'!$D$22,F7))</f>
        <v>2322.67718922422</v>
      </c>
      <c r="L16" s="23" t="n">
        <f aca="false">IF(B7="","",IF(ISNUMBER(B7),B7*'Conversion Factors'!$D$18/1000,B7))</f>
        <v>25.1244955763055</v>
      </c>
    </row>
    <row r="17" customFormat="false" ht="15" hidden="false" customHeight="false" outlineLevel="0" collapsed="false">
      <c r="A17" s="6" t="str">
        <f aca="false">IF(A8="","",A8)</f>
        <v>Conc3000LW</v>
      </c>
      <c r="B17" s="25" t="n">
        <f aca="false">IF(B8="","",IF(ISNUMBER(B8),B8*'Conversion Factors'!$D$18,B8))</f>
        <v>14375.568956256</v>
      </c>
      <c r="C17" s="25" t="n">
        <f aca="false">IF(C8="","",IF(ISNUMBER(C8),C8*'Conversion Factors'!$D$18,C8))</f>
        <v>6253.5448649037</v>
      </c>
      <c r="D17" s="26" t="n">
        <f aca="false">IF(D8="","",D8)</f>
        <v>0.15</v>
      </c>
      <c r="E17" s="27" t="n">
        <f aca="false">IF(E8="","",IF(ISNUMBER(E8),E8*'Conversion Factors'!$D$23,E8))</f>
        <v>10.8</v>
      </c>
      <c r="F17" s="28" t="n">
        <f aca="false">IF(F8="","",IF(ISNUMBER(F8),F8*'Conversion Factors'!$D$21,F8))</f>
        <v>17.2796210230871</v>
      </c>
      <c r="G17" s="25" t="n">
        <f aca="false">IF(G8="","",IF(ISNUMBER(G8),G8*'Conversion Factors'!$D$18,G8))</f>
        <v>20.6842718795051</v>
      </c>
      <c r="H17" s="26" t="n">
        <f aca="false">IF(H8="","",H8)</f>
        <v>0.75</v>
      </c>
      <c r="I17" s="25" t="n">
        <f aca="false">IF(I8="","",IF(ISNUMBER(I8),I8*'Conversion Factors'!$D$18,I8))</f>
        <v>413.685437590102</v>
      </c>
      <c r="J17" s="25" t="n">
        <f aca="false">IF(J8="","",IF(ISNUMBER(J8),J8*'Conversion Factors'!$D$18,J8))</f>
        <v>413.685437590102</v>
      </c>
      <c r="K17" s="29" t="n">
        <f aca="false">IF(F8="","",IF(ISNUMBER(F8),F8*'Conversion Factors'!$D$22,F8))</f>
        <v>1762.03097113562</v>
      </c>
      <c r="L17" s="28" t="n">
        <f aca="false">IF(B8="","",IF(ISNUMBER(B8),B8*'Conversion Factors'!$D$18/1000,B8))</f>
        <v>14.375568956256</v>
      </c>
    </row>
    <row r="18" customFormat="false" ht="15" hidden="false" customHeight="false" outlineLevel="0" collapsed="false">
      <c r="A18" s="9" t="str">
        <f aca="false">IF(A9="","",A9)</f>
        <v>Conc3500LW</v>
      </c>
      <c r="B18" s="20" t="n">
        <f aca="false">IF(B9="","",IF(ISNUMBER(B9),B9*'Conversion Factors'!$D$18,B9))</f>
        <v>15526.9934242151</v>
      </c>
      <c r="C18" s="20" t="n">
        <f aca="false">IF(C9="","",IF(ISNUMBER(C9),C9*'Conversion Factors'!$D$18,C9))</f>
        <v>6749.96739001183</v>
      </c>
      <c r="D18" s="21" t="n">
        <f aca="false">IF(D9="","",D9)</f>
        <v>0.15</v>
      </c>
      <c r="E18" s="22" t="n">
        <f aca="false">IF(E9="","",IF(ISNUMBER(E9),E9*'Conversion Factors'!$D$23,E9))</f>
        <v>10.8</v>
      </c>
      <c r="F18" s="23" t="n">
        <f aca="false">IF(F9="","",IF(ISNUMBER(F9),F9*'Conversion Factors'!$D$21,F9))</f>
        <v>17.2796210230871</v>
      </c>
      <c r="G18" s="20" t="n">
        <f aca="false">IF(G9="","",IF(ISNUMBER(G9),G9*'Conversion Factors'!$D$18,G9))</f>
        <v>24.1316505260893</v>
      </c>
      <c r="H18" s="21" t="n">
        <f aca="false">IF(H9="","",H9)</f>
        <v>0.75</v>
      </c>
      <c r="I18" s="20" t="n">
        <f aca="false">IF(I9="","",IF(ISNUMBER(I9),I9*'Conversion Factors'!$D$18,I9))</f>
        <v>413.685437590102</v>
      </c>
      <c r="J18" s="20" t="n">
        <f aca="false">IF(J9="","",IF(ISNUMBER(J9),J9*'Conversion Factors'!$D$18,J9))</f>
        <v>413.685437590102</v>
      </c>
      <c r="K18" s="24" t="n">
        <f aca="false">IF(F9="","",IF(ISNUMBER(F9),F9*'Conversion Factors'!$D$22,F9))</f>
        <v>1762.03097113562</v>
      </c>
      <c r="L18" s="23" t="n">
        <f aca="false">IF(B9="","",IF(ISNUMBER(B9),B9*'Conversion Factors'!$D$18/1000,B9))</f>
        <v>15.5269934242152</v>
      </c>
    </row>
    <row r="19" customFormat="false" ht="15" hidden="false" customHeight="false" outlineLevel="0" collapsed="false">
      <c r="A19" s="6" t="str">
        <f aca="false">IF(A10="","",A10)</f>
        <v>Conc4000LW</v>
      </c>
      <c r="B19" s="25" t="n">
        <f aca="false">IF(B10="","",IF(ISNUMBER(B10),B10*'Conversion Factors'!$D$18,B10))</f>
        <v>16602.5755619494</v>
      </c>
      <c r="C19" s="25" t="n">
        <f aca="false">IF(C10="","",IF(ISNUMBER(C10),C10*'Conversion Factors'!$D$18,C10))</f>
        <v>7218.81088594727</v>
      </c>
      <c r="D19" s="26" t="n">
        <f aca="false">IF(D10="","",D10)</f>
        <v>0.15</v>
      </c>
      <c r="E19" s="27" t="n">
        <f aca="false">IF(E10="","",IF(ISNUMBER(E10),E10*'Conversion Factors'!$D$23,E10))</f>
        <v>10.8</v>
      </c>
      <c r="F19" s="28" t="n">
        <f aca="false">IF(F10="","",IF(ISNUMBER(F10),F10*'Conversion Factors'!$D$21,F10))</f>
        <v>17.2796210230871</v>
      </c>
      <c r="G19" s="25" t="n">
        <f aca="false">IF(G10="","",IF(ISNUMBER(G10),G10*'Conversion Factors'!$D$18,G10))</f>
        <v>27.5790291726734</v>
      </c>
      <c r="H19" s="26" t="n">
        <f aca="false">IF(H10="","",H10)</f>
        <v>0.75</v>
      </c>
      <c r="I19" s="25" t="n">
        <f aca="false">IF(I10="","",IF(ISNUMBER(I10),I10*'Conversion Factors'!$D$18,I10))</f>
        <v>413.685437590102</v>
      </c>
      <c r="J19" s="25" t="n">
        <f aca="false">IF(J10="","",IF(ISNUMBER(J10),J10*'Conversion Factors'!$D$18,J10))</f>
        <v>413.685437590102</v>
      </c>
      <c r="K19" s="29" t="n">
        <f aca="false">IF(F10="","",IF(ISNUMBER(F10),F10*'Conversion Factors'!$D$22,F10))</f>
        <v>1762.03097113562</v>
      </c>
      <c r="L19" s="28" t="n">
        <f aca="false">IF(B10="","",IF(ISNUMBER(B10),B10*'Conversion Factors'!$D$18/1000,B10))</f>
        <v>16.6025755619494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12" t="s">
        <v>187</v>
      </c>
    </row>
    <row r="3" customFormat="false" ht="15" hidden="false" customHeight="false" outlineLevel="0" collapsed="false">
      <c r="A3" s="3" t="s">
        <v>97</v>
      </c>
    </row>
    <row r="4" customFormat="false" ht="30" hidden="false" customHeight="true" outlineLevel="0" collapsed="false">
      <c r="A4" s="5" t="s">
        <v>98</v>
      </c>
      <c r="B4" s="5" t="s">
        <v>99</v>
      </c>
      <c r="C4" s="5" t="s">
        <v>100</v>
      </c>
      <c r="D4" s="5" t="s">
        <v>101</v>
      </c>
      <c r="E4" s="5" t="s">
        <v>102</v>
      </c>
      <c r="F4" s="5" t="s">
        <v>188</v>
      </c>
      <c r="G4" s="5" t="s">
        <v>189</v>
      </c>
      <c r="H4" s="5" t="s">
        <v>175</v>
      </c>
      <c r="I4" s="5" t="s">
        <v>176</v>
      </c>
      <c r="K4" s="5" t="s">
        <v>108</v>
      </c>
      <c r="L4" s="5" t="s">
        <v>109</v>
      </c>
    </row>
    <row r="5" customFormat="false" ht="15" hidden="false" customHeight="false" outlineLevel="0" collapsed="false">
      <c r="A5" s="9" t="s">
        <v>190</v>
      </c>
      <c r="B5" s="13" t="n">
        <v>1350</v>
      </c>
      <c r="C5" s="13" t="n">
        <v>540</v>
      </c>
      <c r="D5" s="14" t="n">
        <v>0.25</v>
      </c>
      <c r="E5" s="14" t="n">
        <v>0.6</v>
      </c>
      <c r="F5" s="9" t="s">
        <v>165</v>
      </c>
      <c r="G5" s="14" t="n">
        <v>1.5</v>
      </c>
      <c r="H5" s="13" t="n">
        <v>60</v>
      </c>
      <c r="I5" s="13" t="n">
        <v>60</v>
      </c>
      <c r="K5" s="15" t="n">
        <f aca="false">B5/(2*(1+D5))</f>
        <v>540</v>
      </c>
      <c r="L5" s="16" t="n">
        <f aca="false">IF(ISNUMBER(C5),(C5-K5)/K5,"n/a")</f>
        <v>0</v>
      </c>
    </row>
    <row r="6" customFormat="false" ht="15" hidden="false" customHeight="false" outlineLevel="0" collapsed="false">
      <c r="A6" s="6" t="s">
        <v>191</v>
      </c>
      <c r="B6" s="17" t="n">
        <v>1050</v>
      </c>
      <c r="C6" s="17" t="n">
        <v>420</v>
      </c>
      <c r="D6" s="18" t="n">
        <v>0.25</v>
      </c>
      <c r="E6" s="18" t="n">
        <v>0.6</v>
      </c>
      <c r="F6" s="6" t="s">
        <v>165</v>
      </c>
      <c r="G6" s="18" t="n">
        <v>1.5</v>
      </c>
      <c r="H6" s="17" t="n">
        <v>60</v>
      </c>
      <c r="I6" s="17" t="n">
        <v>60</v>
      </c>
      <c r="K6" s="15" t="n">
        <f aca="false">B6/(2*(1+D6))</f>
        <v>420</v>
      </c>
      <c r="L6" s="16" t="n">
        <f aca="false">IF(ISNUMBER(C6),(C6-K6)/K6,"n/a")</f>
        <v>0</v>
      </c>
    </row>
    <row r="8" customFormat="false" ht="15" hidden="false" customHeight="false" outlineLevel="0" collapsed="false">
      <c r="A8" s="3" t="s">
        <v>115</v>
      </c>
    </row>
    <row r="9" customFormat="false" ht="30" hidden="false" customHeight="true" outlineLevel="0" collapsed="false">
      <c r="A9" s="19" t="s">
        <v>98</v>
      </c>
      <c r="B9" s="19" t="s">
        <v>116</v>
      </c>
      <c r="C9" s="19" t="s">
        <v>117</v>
      </c>
      <c r="D9" s="19" t="s">
        <v>101</v>
      </c>
      <c r="E9" s="19" t="s">
        <v>118</v>
      </c>
      <c r="F9" s="19" t="s">
        <v>192</v>
      </c>
      <c r="G9" s="19" t="s">
        <v>193</v>
      </c>
      <c r="H9" s="19" t="s">
        <v>184</v>
      </c>
      <c r="I9" s="19" t="s">
        <v>185</v>
      </c>
      <c r="J9" s="19" t="s">
        <v>122</v>
      </c>
      <c r="K9" s="19" t="s">
        <v>123</v>
      </c>
    </row>
    <row r="10" customFormat="false" ht="15" hidden="false" customHeight="false" outlineLevel="0" collapsed="false">
      <c r="A10" s="9" t="str">
        <f aca="false">IF(A5="","",A5)</f>
        <v>Concrete Matl</v>
      </c>
      <c r="B10" s="20" t="n">
        <f aca="false">IF(B5="","",IF(ISNUMBER(B5),B5*'Conversion Factors'!$D$18,B5))</f>
        <v>9307.92234577729</v>
      </c>
      <c r="C10" s="20" t="n">
        <f aca="false">IF(C5="","",IF(ISNUMBER(C5),C5*'Conversion Factors'!$D$18,C5))</f>
        <v>3723.16893831092</v>
      </c>
      <c r="D10" s="21" t="n">
        <f aca="false">IF(D5="","",D5)</f>
        <v>0.25</v>
      </c>
      <c r="E10" s="22" t="n">
        <f aca="false">IF(E5="","",IF(ISNUMBER(E5),E5*'Conversion Factors'!$D$23,E5))</f>
        <v>10.8</v>
      </c>
      <c r="F10" s="23" t="str">
        <f aca="false">IF(F5="","",IF(ISNUMBER(F5),F5*'Conversion Factors'!$D$21,F5))</f>
        <v>Custom</v>
      </c>
      <c r="G10" s="20" t="n">
        <f aca="false">IF(G5="","",IF(ISNUMBER(G5),G5*'Conversion Factors'!$D$18,G5))</f>
        <v>10.3421359397525</v>
      </c>
      <c r="H10" s="20" t="n">
        <f aca="false">IF(H5="","",IF(ISNUMBER(H5),H5*'Conversion Factors'!$D$18,H5))</f>
        <v>413.685437590102</v>
      </c>
      <c r="I10" s="20" t="n">
        <f aca="false">IF(I5="","",IF(ISNUMBER(I5),I5*'Conversion Factors'!$D$18,I5))</f>
        <v>413.685437590102</v>
      </c>
      <c r="J10" s="24" t="str">
        <f aca="false">IF(F5="","",IF(ISNUMBER(F5),F5*'Conversion Factors'!$D$22,F5))</f>
        <v>Custom</v>
      </c>
      <c r="K10" s="23" t="n">
        <f aca="false">IF(B5="","",IF(ISNUMBER(B5),B5*'Conversion Factors'!$D$18/1000,B5))</f>
        <v>9.30792234577729</v>
      </c>
    </row>
    <row r="11" customFormat="false" ht="15" hidden="false" customHeight="false" outlineLevel="0" collapsed="false">
      <c r="A11" s="6" t="str">
        <f aca="false">IF(A6="","",A6)</f>
        <v>Clay Matl</v>
      </c>
      <c r="B11" s="25" t="n">
        <f aca="false">IF(B6="","",IF(ISNUMBER(B6),B6*'Conversion Factors'!$D$18,B6))</f>
        <v>7239.49515782678</v>
      </c>
      <c r="C11" s="25" t="n">
        <f aca="false">IF(C6="","",IF(ISNUMBER(C6),C6*'Conversion Factors'!$D$18,C6))</f>
        <v>2895.79806313071</v>
      </c>
      <c r="D11" s="26" t="n">
        <f aca="false">IF(D6="","",D6)</f>
        <v>0.25</v>
      </c>
      <c r="E11" s="27" t="n">
        <f aca="false">IF(E6="","",IF(ISNUMBER(E6),E6*'Conversion Factors'!$D$23,E6))</f>
        <v>10.8</v>
      </c>
      <c r="F11" s="28" t="str">
        <f aca="false">IF(F6="","",IF(ISNUMBER(F6),F6*'Conversion Factors'!$D$21,F6))</f>
        <v>Custom</v>
      </c>
      <c r="G11" s="25" t="n">
        <f aca="false">IF(G6="","",IF(ISNUMBER(G6),G6*'Conversion Factors'!$D$18,G6))</f>
        <v>10.3421359397525</v>
      </c>
      <c r="H11" s="25" t="n">
        <f aca="false">IF(H6="","",IF(ISNUMBER(H6),H6*'Conversion Factors'!$D$18,H6))</f>
        <v>413.685437590102</v>
      </c>
      <c r="I11" s="25" t="n">
        <f aca="false">IF(I6="","",IF(ISNUMBER(I6),I6*'Conversion Factors'!$D$18,I6))</f>
        <v>413.685437590102</v>
      </c>
      <c r="J11" s="29" t="str">
        <f aca="false">IF(F6="","",IF(ISNUMBER(F6),F6*'Conversion Factors'!$D$22,F6))</f>
        <v>Custom</v>
      </c>
      <c r="K11" s="28" t="n">
        <f aca="false">IF(B6="","",IF(ISNUMBER(B6),B6*'Conversion Factors'!$D$18/1000,B6))</f>
        <v>7.23949515782678</v>
      </c>
    </row>
    <row r="14" customFormat="false" ht="15" hidden="false" customHeight="false" outlineLevel="0" collapsed="false">
      <c r="A14" s="3" t="s">
        <v>194</v>
      </c>
    </row>
    <row r="15" customFormat="false" ht="15" hidden="false" customHeight="false" outlineLevel="0" collapsed="false">
      <c r="A15" s="2" t="s">
        <v>195</v>
      </c>
      <c r="B15" s="2" t="s">
        <v>196</v>
      </c>
    </row>
    <row r="16" customFormat="false" ht="15" hidden="false" customHeight="false" outlineLevel="0" collapsed="false">
      <c r="A16" s="2" t="s">
        <v>197</v>
      </c>
      <c r="B16" s="2" t="s">
        <v>198</v>
      </c>
    </row>
    <row r="17" customFormat="false" ht="15" hidden="false" customHeight="false" outlineLevel="0" collapsed="false">
      <c r="A17" s="2" t="s">
        <v>199</v>
      </c>
      <c r="B17" s="2" t="s">
        <v>200</v>
      </c>
    </row>
    <row r="18" customFormat="false" ht="15" hidden="false" customHeight="false" outlineLevel="0" collapsed="false">
      <c r="A18" s="2" t="s">
        <v>201</v>
      </c>
      <c r="B18" s="30" t="n">
        <v>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12" min="9" style="0" width="11"/>
    <col collapsed="false" customWidth="true" hidden="false" outlineLevel="0" max="13" min="13" style="0" width="8"/>
    <col collapsed="false" customWidth="true" hidden="false" outlineLevel="0" max="15" min="15" style="0" width="22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12" t="s">
        <v>203</v>
      </c>
    </row>
    <row r="3" customFormat="false" ht="15" hidden="false" customHeight="false" outlineLevel="0" collapsed="false">
      <c r="A3" s="3" t="s">
        <v>97</v>
      </c>
    </row>
    <row r="4" customFormat="false" ht="30" hidden="false" customHeight="true" outlineLevel="0" collapsed="false">
      <c r="A4" s="5" t="s">
        <v>98</v>
      </c>
      <c r="B4" s="5" t="s">
        <v>99</v>
      </c>
      <c r="C4" s="5" t="s">
        <v>100</v>
      </c>
      <c r="D4" s="5" t="s">
        <v>101</v>
      </c>
      <c r="E4" s="5" t="s">
        <v>102</v>
      </c>
      <c r="F4" s="5" t="s">
        <v>103</v>
      </c>
      <c r="G4" s="5" t="s">
        <v>204</v>
      </c>
      <c r="H4" s="5" t="s">
        <v>205</v>
      </c>
      <c r="I4" s="5" t="s">
        <v>206</v>
      </c>
      <c r="J4" s="5" t="s">
        <v>207</v>
      </c>
      <c r="K4" s="5" t="s">
        <v>208</v>
      </c>
      <c r="L4" s="5" t="s">
        <v>209</v>
      </c>
      <c r="M4" s="5" t="s">
        <v>210</v>
      </c>
      <c r="O4" s="5" t="s">
        <v>108</v>
      </c>
      <c r="P4" s="5" t="s">
        <v>109</v>
      </c>
    </row>
    <row r="5" customFormat="false" ht="15" hidden="false" customHeight="false" outlineLevel="0" collapsed="false">
      <c r="A5" s="9" t="s">
        <v>211</v>
      </c>
      <c r="B5" s="13" t="n">
        <v>10100</v>
      </c>
      <c r="C5" s="31" t="n">
        <v>3787.5</v>
      </c>
      <c r="D5" s="14" t="n">
        <v>0.33</v>
      </c>
      <c r="E5" s="14" t="n">
        <v>1.3</v>
      </c>
      <c r="F5" s="14" t="n">
        <v>0.173</v>
      </c>
      <c r="G5" s="9" t="s">
        <v>212</v>
      </c>
      <c r="H5" s="13" t="n">
        <v>1</v>
      </c>
      <c r="I5" s="13" t="n">
        <v>19</v>
      </c>
      <c r="J5" s="13" t="n">
        <v>16</v>
      </c>
      <c r="K5" s="13" t="n">
        <v>13</v>
      </c>
      <c r="L5" s="13" t="n">
        <v>12</v>
      </c>
      <c r="M5" s="13" t="n">
        <v>141</v>
      </c>
      <c r="O5" s="15" t="n">
        <f aca="false">B5/(2*(1+D5))</f>
        <v>3796.99248120301</v>
      </c>
      <c r="P5" s="16" t="n">
        <f aca="false">IF(ISNUMBER(C5),(C5-O5)/O5,"n/a")</f>
        <v>-0.00249999999999991</v>
      </c>
    </row>
    <row r="6" customFormat="false" ht="15" hidden="false" customHeight="false" outlineLevel="0" collapsed="false">
      <c r="A6" s="6" t="s">
        <v>213</v>
      </c>
      <c r="B6" s="17" t="n">
        <v>10100</v>
      </c>
      <c r="C6" s="32" t="n">
        <v>3787.5</v>
      </c>
      <c r="D6" s="18" t="n">
        <v>0.33</v>
      </c>
      <c r="E6" s="18" t="n">
        <v>1.3</v>
      </c>
      <c r="F6" s="18" t="n">
        <v>0.173</v>
      </c>
      <c r="G6" s="6" t="s">
        <v>214</v>
      </c>
      <c r="H6" s="17" t="n">
        <v>1</v>
      </c>
      <c r="I6" s="17" t="n">
        <v>38</v>
      </c>
      <c r="J6" s="17" t="n">
        <v>35</v>
      </c>
      <c r="K6" s="17" t="n">
        <v>35</v>
      </c>
      <c r="L6" s="17" t="n">
        <v>24</v>
      </c>
      <c r="M6" s="17" t="n">
        <v>141</v>
      </c>
      <c r="O6" s="15" t="n">
        <f aca="false">B6/(2*(1+D6))</f>
        <v>3796.99248120301</v>
      </c>
      <c r="P6" s="16" t="n">
        <f aca="false">IF(ISNUMBER(C6),(C6-O6)/O6,"n/a")</f>
        <v>-0.00249999999999991</v>
      </c>
    </row>
    <row r="7" customFormat="false" ht="15" hidden="false" customHeight="false" outlineLevel="0" collapsed="false">
      <c r="A7" s="9" t="s">
        <v>215</v>
      </c>
      <c r="B7" s="13" t="n">
        <v>10100</v>
      </c>
      <c r="C7" s="31" t="n">
        <v>3787.5</v>
      </c>
      <c r="D7" s="14" t="n">
        <v>0.33</v>
      </c>
      <c r="E7" s="14" t="n">
        <v>1.3</v>
      </c>
      <c r="F7" s="14" t="n">
        <v>0.173</v>
      </c>
      <c r="G7" s="9" t="s">
        <v>214</v>
      </c>
      <c r="H7" s="13" t="n">
        <v>1</v>
      </c>
      <c r="I7" s="13" t="n">
        <v>22</v>
      </c>
      <c r="J7" s="13" t="n">
        <v>16</v>
      </c>
      <c r="K7" s="13" t="n">
        <v>16</v>
      </c>
      <c r="L7" s="13" t="n">
        <v>13</v>
      </c>
      <c r="M7" s="13" t="n">
        <v>141</v>
      </c>
      <c r="O7" s="15" t="n">
        <f aca="false">B7/(2*(1+D7))</f>
        <v>3796.99248120301</v>
      </c>
      <c r="P7" s="16" t="n">
        <f aca="false">IF(ISNUMBER(C7),(C7-O7)/O7,"n/a")</f>
        <v>-0.00249999999999991</v>
      </c>
    </row>
    <row r="8" customFormat="false" ht="15" hidden="false" customHeight="false" outlineLevel="0" collapsed="false">
      <c r="A8" s="6" t="s">
        <v>216</v>
      </c>
      <c r="B8" s="17" t="n">
        <v>10100</v>
      </c>
      <c r="C8" s="32" t="n">
        <v>3787.5</v>
      </c>
      <c r="D8" s="18" t="n">
        <v>0.33</v>
      </c>
      <c r="E8" s="18" t="n">
        <v>1.3</v>
      </c>
      <c r="F8" s="18" t="n">
        <v>0.173</v>
      </c>
      <c r="G8" s="6" t="s">
        <v>214</v>
      </c>
      <c r="H8" s="17" t="n">
        <v>1</v>
      </c>
      <c r="I8" s="17" t="n">
        <v>30</v>
      </c>
      <c r="J8" s="17" t="n">
        <v>25</v>
      </c>
      <c r="K8" s="17" t="n">
        <v>25</v>
      </c>
      <c r="L8" s="17" t="n">
        <v>19</v>
      </c>
      <c r="M8" s="17" t="n">
        <v>141</v>
      </c>
      <c r="O8" s="15" t="n">
        <f aca="false">B8/(2*(1+D8))</f>
        <v>3796.99248120301</v>
      </c>
      <c r="P8" s="16" t="n">
        <f aca="false">IF(ISNUMBER(C8),(C8-O8)/O8,"n/a")</f>
        <v>-0.00249999999999991</v>
      </c>
    </row>
    <row r="9" customFormat="false" ht="15" hidden="false" customHeight="false" outlineLevel="0" collapsed="false">
      <c r="A9" s="9" t="s">
        <v>217</v>
      </c>
      <c r="B9" s="13" t="n">
        <v>10200</v>
      </c>
      <c r="C9" s="31" t="n">
        <v>3787.5</v>
      </c>
      <c r="D9" s="14" t="n">
        <v>0.33</v>
      </c>
      <c r="E9" s="14" t="n">
        <v>1.3</v>
      </c>
      <c r="F9" s="14" t="n">
        <v>0.173</v>
      </c>
      <c r="G9" s="9" t="s">
        <v>212</v>
      </c>
      <c r="H9" s="13" t="n">
        <v>1</v>
      </c>
      <c r="I9" s="13" t="n">
        <v>34</v>
      </c>
      <c r="J9" s="13" t="n">
        <v>26</v>
      </c>
      <c r="K9" s="13" t="n">
        <v>24</v>
      </c>
      <c r="L9" s="13" t="n">
        <v>20</v>
      </c>
      <c r="M9" s="13" t="n">
        <v>141</v>
      </c>
      <c r="O9" s="15" t="n">
        <f aca="false">B9/(2*(1+D9))</f>
        <v>3834.58646616541</v>
      </c>
      <c r="P9" s="16" t="n">
        <f aca="false">IF(ISNUMBER(C9),(C9-O9)/O9,"n/a")</f>
        <v>-0.0122794117647058</v>
      </c>
    </row>
    <row r="10" customFormat="false" ht="15" hidden="false" customHeight="false" outlineLevel="0" collapsed="false">
      <c r="A10" s="6" t="s">
        <v>218</v>
      </c>
      <c r="B10" s="17" t="n">
        <v>10100</v>
      </c>
      <c r="C10" s="32" t="n">
        <v>3787.5</v>
      </c>
      <c r="D10" s="18" t="n">
        <v>0.33</v>
      </c>
      <c r="E10" s="18" t="n">
        <v>1.3</v>
      </c>
      <c r="F10" s="18" t="n">
        <v>0.173</v>
      </c>
      <c r="G10" s="6" t="s">
        <v>214</v>
      </c>
      <c r="H10" s="17" t="n">
        <v>1</v>
      </c>
      <c r="I10" s="17" t="n">
        <v>24</v>
      </c>
      <c r="J10" s="17" t="n">
        <v>15</v>
      </c>
      <c r="K10" s="17" t="n">
        <v>15</v>
      </c>
      <c r="L10" s="17" t="n">
        <v>15</v>
      </c>
      <c r="M10" s="17" t="n">
        <v>141</v>
      </c>
      <c r="O10" s="15" t="n">
        <f aca="false">B10/(2*(1+D10))</f>
        <v>3796.99248120301</v>
      </c>
      <c r="P10" s="16" t="n">
        <f aca="false">IF(ISNUMBER(C10),(C10-O10)/O10,"n/a")</f>
        <v>-0.00249999999999991</v>
      </c>
    </row>
    <row r="12" customFormat="false" ht="15" hidden="false" customHeight="false" outlineLevel="0" collapsed="false">
      <c r="A12" s="3" t="s">
        <v>115</v>
      </c>
    </row>
    <row r="13" customFormat="false" ht="30" hidden="false" customHeight="true" outlineLevel="0" collapsed="false">
      <c r="A13" s="19" t="s">
        <v>98</v>
      </c>
      <c r="B13" s="19" t="s">
        <v>116</v>
      </c>
      <c r="C13" s="19" t="s">
        <v>117</v>
      </c>
      <c r="D13" s="19" t="s">
        <v>101</v>
      </c>
      <c r="E13" s="19" t="s">
        <v>118</v>
      </c>
      <c r="F13" s="19" t="s">
        <v>119</v>
      </c>
      <c r="G13" s="19" t="s">
        <v>204</v>
      </c>
      <c r="H13" s="19" t="s">
        <v>205</v>
      </c>
      <c r="I13" s="19" t="s">
        <v>219</v>
      </c>
      <c r="J13" s="19" t="s">
        <v>220</v>
      </c>
      <c r="K13" s="19" t="s">
        <v>221</v>
      </c>
      <c r="L13" s="19" t="s">
        <v>222</v>
      </c>
      <c r="M13" s="19" t="s">
        <v>210</v>
      </c>
      <c r="N13" s="19" t="s">
        <v>122</v>
      </c>
      <c r="O13" s="19" t="s">
        <v>123</v>
      </c>
    </row>
    <row r="14" customFormat="false" ht="15" hidden="false" customHeight="false" outlineLevel="0" collapsed="false">
      <c r="A14" s="9" t="str">
        <f aca="false">IF(A5="","",A5)</f>
        <v>3003-H14</v>
      </c>
      <c r="B14" s="20" t="n">
        <f aca="false">IF(B5="","",IF(ISNUMBER(B5),B5*'Conversion Factors'!$D$18,B5))</f>
        <v>69637.0486610004</v>
      </c>
      <c r="C14" s="20" t="n">
        <f aca="false">IF(C5="","",IF(ISNUMBER(C5),C5*'Conversion Factors'!$D$18,C5))</f>
        <v>26113.8932478752</v>
      </c>
      <c r="D14" s="21" t="n">
        <f aca="false">IF(D5="","",D5)</f>
        <v>0.33</v>
      </c>
      <c r="E14" s="22" t="n">
        <f aca="false">IF(E5="","",IF(ISNUMBER(E5),E5*'Conversion Factors'!$D$23,E5))</f>
        <v>23.4</v>
      </c>
      <c r="F14" s="23" t="n">
        <f aca="false">IF(F5="","",IF(ISNUMBER(F5),F5*'Conversion Factors'!$D$21,F5))</f>
        <v>27.1761312454006</v>
      </c>
      <c r="G14" s="9" t="str">
        <f aca="false">IF(G5="","",G5)</f>
        <v>Table B.4-1</v>
      </c>
      <c r="H14" s="24" t="n">
        <f aca="false">IF(H5="","",H5)</f>
        <v>1</v>
      </c>
      <c r="I14" s="20" t="n">
        <f aca="false">IF(I5="","",IF(ISNUMBER(I5),I5*'Conversion Factors'!$D$18,I5))</f>
        <v>131.000388570199</v>
      </c>
      <c r="J14" s="20" t="n">
        <f aca="false">IF(J5="","",IF(ISNUMBER(J5),J5*'Conversion Factors'!$D$18,J5))</f>
        <v>110.316116690694</v>
      </c>
      <c r="K14" s="20" t="n">
        <f aca="false">IF(K5="","",IF(ISNUMBER(K5),K5*'Conversion Factors'!$D$18,K5))</f>
        <v>89.6318448111887</v>
      </c>
      <c r="L14" s="20" t="n">
        <f aca="false">IF(L5="","",IF(ISNUMBER(L5),L5*'Conversion Factors'!$D$18,L5))</f>
        <v>82.7370875180203</v>
      </c>
      <c r="M14" s="24" t="n">
        <f aca="false">IF(M5="","",M5)</f>
        <v>141</v>
      </c>
      <c r="N14" s="24" t="n">
        <f aca="false">IF(F5="","",IF(ISNUMBER(F5),F5*'Conversion Factors'!$D$22,F5))</f>
        <v>2771.19416369511</v>
      </c>
      <c r="O14" s="23" t="n">
        <f aca="false">IF(B5="","",IF(ISNUMBER(B5),B5*'Conversion Factors'!$D$18/1000,B5))</f>
        <v>69.6370486610005</v>
      </c>
    </row>
    <row r="15" customFormat="false" ht="15" hidden="false" customHeight="false" outlineLevel="0" collapsed="false">
      <c r="A15" s="6" t="str">
        <f aca="false">IF(A6="","",A6)</f>
        <v>6061-T6</v>
      </c>
      <c r="B15" s="25" t="n">
        <f aca="false">IF(B6="","",IF(ISNUMBER(B6),B6*'Conversion Factors'!$D$18,B6))</f>
        <v>69637.0486610004</v>
      </c>
      <c r="C15" s="25" t="n">
        <f aca="false">IF(C6="","",IF(ISNUMBER(C6),C6*'Conversion Factors'!$D$18,C6))</f>
        <v>26113.8932478752</v>
      </c>
      <c r="D15" s="26" t="n">
        <f aca="false">IF(D6="","",D6)</f>
        <v>0.33</v>
      </c>
      <c r="E15" s="27" t="n">
        <f aca="false">IF(E6="","",IF(ISNUMBER(E6),E6*'Conversion Factors'!$D$23,E6))</f>
        <v>23.4</v>
      </c>
      <c r="F15" s="28" t="n">
        <f aca="false">IF(F6="","",IF(ISNUMBER(F6),F6*'Conversion Factors'!$D$21,F6))</f>
        <v>27.1761312454006</v>
      </c>
      <c r="G15" s="6" t="str">
        <f aca="false">IF(G6="","",G6)</f>
        <v>Table B.4-2</v>
      </c>
      <c r="H15" s="29" t="n">
        <f aca="false">IF(H6="","",H6)</f>
        <v>1</v>
      </c>
      <c r="I15" s="25" t="n">
        <f aca="false">IF(I6="","",IF(ISNUMBER(I6),I6*'Conversion Factors'!$D$18,I6))</f>
        <v>262.000777140398</v>
      </c>
      <c r="J15" s="25" t="n">
        <f aca="false">IF(J6="","",IF(ISNUMBER(J6),J6*'Conversion Factors'!$D$18,J6))</f>
        <v>241.316505260893</v>
      </c>
      <c r="K15" s="25" t="n">
        <f aca="false">IF(K6="","",IF(ISNUMBER(K6),K6*'Conversion Factors'!$D$18,K6))</f>
        <v>241.316505260893</v>
      </c>
      <c r="L15" s="25" t="n">
        <f aca="false">IF(L6="","",IF(ISNUMBER(L6),L6*'Conversion Factors'!$D$18,L6))</f>
        <v>165.474175036041</v>
      </c>
      <c r="M15" s="29" t="n">
        <f aca="false">IF(M6="","",M6)</f>
        <v>141</v>
      </c>
      <c r="N15" s="29" t="n">
        <f aca="false">IF(F6="","",IF(ISNUMBER(F6),F6*'Conversion Factors'!$D$22,F6))</f>
        <v>2771.19416369511</v>
      </c>
      <c r="O15" s="28" t="n">
        <f aca="false">IF(B6="","",IF(ISNUMBER(B6),B6*'Conversion Factors'!$D$18/1000,B6))</f>
        <v>69.6370486610005</v>
      </c>
    </row>
    <row r="16" customFormat="false" ht="15" hidden="false" customHeight="false" outlineLevel="0" collapsed="false">
      <c r="A16" s="9" t="str">
        <f aca="false">IF(A7="","",A7)</f>
        <v>6063-T5</v>
      </c>
      <c r="B16" s="20" t="n">
        <f aca="false">IF(B7="","",IF(ISNUMBER(B7),B7*'Conversion Factors'!$D$18,B7))</f>
        <v>69637.0486610004</v>
      </c>
      <c r="C16" s="20" t="n">
        <f aca="false">IF(C7="","",IF(ISNUMBER(C7),C7*'Conversion Factors'!$D$18,C7))</f>
        <v>26113.8932478752</v>
      </c>
      <c r="D16" s="21" t="n">
        <f aca="false">IF(D7="","",D7)</f>
        <v>0.33</v>
      </c>
      <c r="E16" s="22" t="n">
        <f aca="false">IF(E7="","",IF(ISNUMBER(E7),E7*'Conversion Factors'!$D$23,E7))</f>
        <v>23.4</v>
      </c>
      <c r="F16" s="23" t="n">
        <f aca="false">IF(F7="","",IF(ISNUMBER(F7),F7*'Conversion Factors'!$D$21,F7))</f>
        <v>27.1761312454006</v>
      </c>
      <c r="G16" s="9" t="str">
        <f aca="false">IF(G7="","",G7)</f>
        <v>Table B.4-2</v>
      </c>
      <c r="H16" s="24" t="n">
        <f aca="false">IF(H7="","",H7)</f>
        <v>1</v>
      </c>
      <c r="I16" s="20" t="n">
        <f aca="false">IF(I7="","",IF(ISNUMBER(I7),I7*'Conversion Factors'!$D$18,I7))</f>
        <v>151.684660449704</v>
      </c>
      <c r="J16" s="20" t="n">
        <f aca="false">IF(J7="","",IF(ISNUMBER(J7),J7*'Conversion Factors'!$D$18,J7))</f>
        <v>110.316116690694</v>
      </c>
      <c r="K16" s="20" t="n">
        <f aca="false">IF(K7="","",IF(ISNUMBER(K7),K7*'Conversion Factors'!$D$18,K7))</f>
        <v>110.316116690694</v>
      </c>
      <c r="L16" s="20" t="n">
        <f aca="false">IF(L7="","",IF(ISNUMBER(L7),L7*'Conversion Factors'!$D$18,L7))</f>
        <v>89.6318448111887</v>
      </c>
      <c r="M16" s="24" t="n">
        <f aca="false">IF(M7="","",M7)</f>
        <v>141</v>
      </c>
      <c r="N16" s="24" t="n">
        <f aca="false">IF(F7="","",IF(ISNUMBER(F7),F7*'Conversion Factors'!$D$22,F7))</f>
        <v>2771.19416369511</v>
      </c>
      <c r="O16" s="23" t="n">
        <f aca="false">IF(B7="","",IF(ISNUMBER(B7),B7*'Conversion Factors'!$D$18/1000,B7))</f>
        <v>69.6370486610005</v>
      </c>
    </row>
    <row r="17" customFormat="false" ht="15" hidden="false" customHeight="false" outlineLevel="0" collapsed="false">
      <c r="A17" s="6" t="str">
        <f aca="false">IF(A8="","",A8)</f>
        <v>6063-T6</v>
      </c>
      <c r="B17" s="25" t="n">
        <f aca="false">IF(B8="","",IF(ISNUMBER(B8),B8*'Conversion Factors'!$D$18,B8))</f>
        <v>69637.0486610004</v>
      </c>
      <c r="C17" s="25" t="n">
        <f aca="false">IF(C8="","",IF(ISNUMBER(C8),C8*'Conversion Factors'!$D$18,C8))</f>
        <v>26113.8932478752</v>
      </c>
      <c r="D17" s="26" t="n">
        <f aca="false">IF(D8="","",D8)</f>
        <v>0.33</v>
      </c>
      <c r="E17" s="27" t="n">
        <f aca="false">IF(E8="","",IF(ISNUMBER(E8),E8*'Conversion Factors'!$D$23,E8))</f>
        <v>23.4</v>
      </c>
      <c r="F17" s="28" t="n">
        <f aca="false">IF(F8="","",IF(ISNUMBER(F8),F8*'Conversion Factors'!$D$21,F8))</f>
        <v>27.1761312454006</v>
      </c>
      <c r="G17" s="6" t="str">
        <f aca="false">IF(G8="","",G8)</f>
        <v>Table B.4-2</v>
      </c>
      <c r="H17" s="29" t="n">
        <f aca="false">IF(H8="","",H8)</f>
        <v>1</v>
      </c>
      <c r="I17" s="25" t="n">
        <f aca="false">IF(I8="","",IF(ISNUMBER(I8),I8*'Conversion Factors'!$D$18,I8))</f>
        <v>206.842718795051</v>
      </c>
      <c r="J17" s="25" t="n">
        <f aca="false">IF(J8="","",IF(ISNUMBER(J8),J8*'Conversion Factors'!$D$18,J8))</f>
        <v>172.368932329209</v>
      </c>
      <c r="K17" s="25" t="n">
        <f aca="false">IF(K8="","",IF(ISNUMBER(K8),K8*'Conversion Factors'!$D$18,K8))</f>
        <v>172.368932329209</v>
      </c>
      <c r="L17" s="25" t="n">
        <f aca="false">IF(L8="","",IF(ISNUMBER(L8),L8*'Conversion Factors'!$D$18,L8))</f>
        <v>131.000388570199</v>
      </c>
      <c r="M17" s="29" t="n">
        <f aca="false">IF(M8="","",M8)</f>
        <v>141</v>
      </c>
      <c r="N17" s="29" t="n">
        <f aca="false">IF(F8="","",IF(ISNUMBER(F8),F8*'Conversion Factors'!$D$22,F8))</f>
        <v>2771.19416369511</v>
      </c>
      <c r="O17" s="28" t="n">
        <f aca="false">IF(B8="","",IF(ISNUMBER(B8),B8*'Conversion Factors'!$D$18/1000,B8))</f>
        <v>69.6370486610005</v>
      </c>
    </row>
    <row r="18" customFormat="false" ht="15" hidden="false" customHeight="false" outlineLevel="0" collapsed="false">
      <c r="A18" s="9" t="str">
        <f aca="false">IF(A9="","",A9)</f>
        <v>5052-H34</v>
      </c>
      <c r="B18" s="20" t="n">
        <f aca="false">IF(B9="","",IF(ISNUMBER(B9),B9*'Conversion Factors'!$D$18,B9))</f>
        <v>70326.5243903173</v>
      </c>
      <c r="C18" s="20" t="n">
        <f aca="false">IF(C9="","",IF(ISNUMBER(C9),C9*'Conversion Factors'!$D$18,C9))</f>
        <v>26113.8932478752</v>
      </c>
      <c r="D18" s="21" t="n">
        <f aca="false">IF(D9="","",D9)</f>
        <v>0.33</v>
      </c>
      <c r="E18" s="22" t="n">
        <f aca="false">IF(E9="","",IF(ISNUMBER(E9),E9*'Conversion Factors'!$D$23,E9))</f>
        <v>23.4</v>
      </c>
      <c r="F18" s="23" t="n">
        <f aca="false">IF(F9="","",IF(ISNUMBER(F9),F9*'Conversion Factors'!$D$21,F9))</f>
        <v>27.1761312454006</v>
      </c>
      <c r="G18" s="9" t="str">
        <f aca="false">IF(G9="","",G9)</f>
        <v>Table B.4-1</v>
      </c>
      <c r="H18" s="24" t="n">
        <f aca="false">IF(H9="","",H9)</f>
        <v>1</v>
      </c>
      <c r="I18" s="20" t="n">
        <f aca="false">IF(I9="","",IF(ISNUMBER(I9),I9*'Conversion Factors'!$D$18,I9))</f>
        <v>234.421747967724</v>
      </c>
      <c r="J18" s="20" t="n">
        <f aca="false">IF(J9="","",IF(ISNUMBER(J9),J9*'Conversion Factors'!$D$18,J9))</f>
        <v>179.263689622377</v>
      </c>
      <c r="K18" s="20" t="n">
        <f aca="false">IF(K9="","",IF(ISNUMBER(K9),K9*'Conversion Factors'!$D$18,K9))</f>
        <v>165.474175036041</v>
      </c>
      <c r="L18" s="20" t="n">
        <f aca="false">IF(L9="","",IF(ISNUMBER(L9),L9*'Conversion Factors'!$D$18,L9))</f>
        <v>137.895145863367</v>
      </c>
      <c r="M18" s="24" t="n">
        <f aca="false">IF(M9="","",M9)</f>
        <v>141</v>
      </c>
      <c r="N18" s="24" t="n">
        <f aca="false">IF(F9="","",IF(ISNUMBER(F9),F9*'Conversion Factors'!$D$22,F9))</f>
        <v>2771.19416369511</v>
      </c>
      <c r="O18" s="23" t="n">
        <f aca="false">IF(B9="","",IF(ISNUMBER(B9),B9*'Conversion Factors'!$D$18/1000,B9))</f>
        <v>70.3265243903173</v>
      </c>
    </row>
    <row r="19" customFormat="false" ht="15" hidden="false" customHeight="false" outlineLevel="0" collapsed="false">
      <c r="A19" s="6" t="str">
        <f aca="false">IF(A10="","",A10)</f>
        <v>6061-T6 (welded)</v>
      </c>
      <c r="B19" s="25" t="n">
        <f aca="false">IF(B10="","",IF(ISNUMBER(B10),B10*'Conversion Factors'!$D$18,B10))</f>
        <v>69637.0486610004</v>
      </c>
      <c r="C19" s="25" t="n">
        <f aca="false">IF(C10="","",IF(ISNUMBER(C10),C10*'Conversion Factors'!$D$18,C10))</f>
        <v>26113.8932478752</v>
      </c>
      <c r="D19" s="26" t="n">
        <f aca="false">IF(D10="","",D10)</f>
        <v>0.33</v>
      </c>
      <c r="E19" s="27" t="n">
        <f aca="false">IF(E10="","",IF(ISNUMBER(E10),E10*'Conversion Factors'!$D$23,E10))</f>
        <v>23.4</v>
      </c>
      <c r="F19" s="28" t="n">
        <f aca="false">IF(F10="","",IF(ISNUMBER(F10),F10*'Conversion Factors'!$D$21,F10))</f>
        <v>27.1761312454006</v>
      </c>
      <c r="G19" s="6" t="str">
        <f aca="false">IF(G10="","",G10)</f>
        <v>Table B.4-2</v>
      </c>
      <c r="H19" s="29" t="n">
        <f aca="false">IF(H10="","",H10)</f>
        <v>1</v>
      </c>
      <c r="I19" s="25" t="n">
        <f aca="false">IF(I10="","",IF(ISNUMBER(I10),I10*'Conversion Factors'!$D$18,I10))</f>
        <v>165.474175036041</v>
      </c>
      <c r="J19" s="25" t="n">
        <f aca="false">IF(J10="","",IF(ISNUMBER(J10),J10*'Conversion Factors'!$D$18,J10))</f>
        <v>103.421359397525</v>
      </c>
      <c r="K19" s="25" t="n">
        <f aca="false">IF(K10="","",IF(ISNUMBER(K10),K10*'Conversion Factors'!$D$18,K10))</f>
        <v>103.421359397525</v>
      </c>
      <c r="L19" s="25" t="n">
        <f aca="false">IF(L10="","",IF(ISNUMBER(L10),L10*'Conversion Factors'!$D$18,L10))</f>
        <v>103.421359397525</v>
      </c>
      <c r="M19" s="29" t="n">
        <f aca="false">IF(M10="","",M10)</f>
        <v>141</v>
      </c>
      <c r="N19" s="29" t="n">
        <f aca="false">IF(F10="","",IF(ISNUMBER(F10),F10*'Conversion Factors'!$D$22,F10))</f>
        <v>2771.19416369511</v>
      </c>
      <c r="O19" s="28" t="n">
        <f aca="false">IF(B10="","",IF(ISNUMBER(B10),B10*'Conversion Factors'!$D$18/1000,B10))</f>
        <v>69.6370486610005</v>
      </c>
    </row>
    <row r="21" customFormat="false" ht="15" hidden="false" customHeight="false" outlineLevel="0" collapsed="false">
      <c r="A21" s="12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12" t="s">
        <v>225</v>
      </c>
    </row>
    <row r="3" customFormat="false" ht="15" hidden="false" customHeight="false" outlineLevel="0" collapsed="false">
      <c r="A3" s="3" t="s">
        <v>97</v>
      </c>
    </row>
    <row r="4" customFormat="false" ht="30" hidden="false" customHeight="true" outlineLevel="0" collapsed="false">
      <c r="A4" s="5" t="s">
        <v>98</v>
      </c>
      <c r="B4" s="5" t="s">
        <v>99</v>
      </c>
      <c r="C4" s="5" t="s">
        <v>100</v>
      </c>
      <c r="D4" s="5" t="s">
        <v>101</v>
      </c>
      <c r="E4" s="5" t="s">
        <v>102</v>
      </c>
      <c r="F4" s="5" t="s">
        <v>103</v>
      </c>
      <c r="G4" s="5" t="s">
        <v>226</v>
      </c>
      <c r="H4" s="5" t="s">
        <v>104</v>
      </c>
      <c r="I4" s="5" t="s">
        <v>106</v>
      </c>
      <c r="K4" s="5" t="s">
        <v>108</v>
      </c>
      <c r="L4" s="5" t="s">
        <v>109</v>
      </c>
    </row>
    <row r="5" customFormat="false" ht="15" hidden="false" customHeight="false" outlineLevel="0" collapsed="false">
      <c r="A5" s="9" t="s">
        <v>227</v>
      </c>
      <c r="B5" s="13" t="n">
        <v>193100</v>
      </c>
      <c r="C5" s="31" t="n">
        <v>74325.484</v>
      </c>
      <c r="D5" s="14" t="n">
        <v>0.3</v>
      </c>
      <c r="E5" s="14" t="n">
        <v>1.674</v>
      </c>
      <c r="F5" s="14" t="n">
        <v>8.009</v>
      </c>
      <c r="G5" s="14" t="n">
        <v>5.6</v>
      </c>
      <c r="H5" s="31" t="n">
        <v>206.843</v>
      </c>
      <c r="I5" s="31" t="n">
        <v>517.107</v>
      </c>
      <c r="K5" s="15" t="n">
        <f aca="false">B5/(2*(1+D5))</f>
        <v>74269.2307692308</v>
      </c>
      <c r="L5" s="16" t="n">
        <f aca="false">IF(ISNUMBER(C5),(C5-K5)/K5,"n/a")</f>
        <v>0.000757423096841016</v>
      </c>
    </row>
    <row r="7" customFormat="false" ht="15" hidden="false" customHeight="false" outlineLevel="0" collapsed="false">
      <c r="A7" s="3" t="s">
        <v>115</v>
      </c>
    </row>
    <row r="8" customFormat="false" ht="30" hidden="false" customHeight="true" outlineLevel="0" collapsed="false">
      <c r="A8" s="19" t="s">
        <v>98</v>
      </c>
      <c r="B8" s="19" t="s">
        <v>116</v>
      </c>
      <c r="C8" s="19" t="s">
        <v>117</v>
      </c>
      <c r="D8" s="19" t="s">
        <v>101</v>
      </c>
      <c r="E8" s="19" t="s">
        <v>118</v>
      </c>
      <c r="F8" s="19" t="s">
        <v>119</v>
      </c>
      <c r="G8" s="19" t="s">
        <v>226</v>
      </c>
      <c r="H8" s="19" t="s">
        <v>120</v>
      </c>
      <c r="I8" s="19" t="s">
        <v>121</v>
      </c>
      <c r="J8" s="19" t="s">
        <v>122</v>
      </c>
      <c r="K8" s="19" t="s">
        <v>123</v>
      </c>
    </row>
    <row r="9" customFormat="false" ht="15" hidden="false" customHeight="false" outlineLevel="0" collapsed="false">
      <c r="A9" s="9" t="str">
        <f aca="false">IF(A5="","",A5)</f>
        <v>SS1</v>
      </c>
      <c r="B9" s="20" t="n">
        <f aca="false">IF(B5="","",IF(ISNUMBER(B5),B5*'Conversion Factors'!$D$18,B5))</f>
        <v>1331377.63331081</v>
      </c>
      <c r="C9" s="20" t="n">
        <f aca="false">IF(C5="","",IF(ISNUMBER(C5),C5*'Conversion Factors'!$D$18,C5))</f>
        <v>512456.172877268</v>
      </c>
      <c r="D9" s="21" t="n">
        <f aca="false">IF(D5="","",D5)</f>
        <v>0.3</v>
      </c>
      <c r="E9" s="22" t="n">
        <f aca="false">IF(E5="","",IF(ISNUMBER(E5),E5*'Conversion Factors'!$D$23,E5))</f>
        <v>30.132</v>
      </c>
      <c r="F9" s="23" t="n">
        <f aca="false">IF(F5="","",IF(ISNUMBER(F5),F5*'Conversion Factors'!$D$21,F5))</f>
        <v>1258.11349794459</v>
      </c>
      <c r="G9" s="21" t="n">
        <f aca="false">IF(G5="","",G5)</f>
        <v>5.6</v>
      </c>
      <c r="H9" s="20" t="n">
        <f aca="false">IF(H5="","",IF(ISNUMBER(H5),H5*'Conversion Factors'!$D$18,H5))</f>
        <v>1426.13228279082</v>
      </c>
      <c r="I9" s="20" t="n">
        <f aca="false">IF(I5="","",IF(ISNUMBER(I5),I5*'Conversion Factors'!$D$18,I5))</f>
        <v>3565.32725959841</v>
      </c>
      <c r="J9" s="24" t="n">
        <f aca="false">IF(F5="","",IF(ISNUMBER(F5),F5*'Conversion Factors'!$D$22,F5))</f>
        <v>128291.873162047</v>
      </c>
      <c r="K9" s="23" t="n">
        <f aca="false">IF(B5="","",IF(ISNUMBER(B5),B5*'Conversion Factors'!$D$18/1000,B5))</f>
        <v>1331.37763331081</v>
      </c>
    </row>
    <row r="11" customFormat="false" ht="15" hidden="false" customHeight="false" outlineLevel="0" collapsed="false">
      <c r="A11" s="12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9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12" t="s">
        <v>230</v>
      </c>
    </row>
    <row r="3" customFormat="false" ht="15" hidden="false" customHeight="false" outlineLevel="0" collapsed="false">
      <c r="A3" s="3" t="s">
        <v>97</v>
      </c>
    </row>
    <row r="4" customFormat="false" ht="30" hidden="false" customHeight="true" outlineLevel="0" collapsed="false">
      <c r="A4" s="5" t="s">
        <v>98</v>
      </c>
      <c r="B4" s="5" t="s">
        <v>99</v>
      </c>
      <c r="C4" s="5" t="s">
        <v>100</v>
      </c>
      <c r="D4" s="5" t="s">
        <v>101</v>
      </c>
      <c r="E4" s="5" t="s">
        <v>102</v>
      </c>
      <c r="F4" s="5" t="s">
        <v>103</v>
      </c>
      <c r="G4" s="5" t="s">
        <v>231</v>
      </c>
      <c r="I4" s="5" t="s">
        <v>108</v>
      </c>
      <c r="J4" s="5" t="s">
        <v>109</v>
      </c>
    </row>
    <row r="5" customFormat="false" ht="15" hidden="false" customHeight="false" outlineLevel="0" collapsed="false">
      <c r="A5" s="9" t="s">
        <v>232</v>
      </c>
      <c r="B5" s="13" t="n">
        <v>3155</v>
      </c>
      <c r="C5" s="13" t="n">
        <v>1372</v>
      </c>
      <c r="D5" s="14" t="n">
        <v>0.15</v>
      </c>
      <c r="E5" s="14" t="n">
        <v>0.6</v>
      </c>
      <c r="F5" s="14" t="n">
        <v>0.145</v>
      </c>
      <c r="G5" s="9" t="s">
        <v>233</v>
      </c>
      <c r="I5" s="15" t="n">
        <f aca="false">B5/(2*(1+D5))</f>
        <v>1371.73913043478</v>
      </c>
      <c r="J5" s="16" t="n">
        <f aca="false">IF(ISNUMBER(C5),(C5-I5)/I5,"n/a")</f>
        <v>0.000190174326465833</v>
      </c>
    </row>
    <row r="6" customFormat="false" ht="15" hidden="false" customHeight="false" outlineLevel="0" collapsed="false">
      <c r="A6" s="6" t="s">
        <v>234</v>
      </c>
      <c r="B6" s="17" t="n">
        <v>3644</v>
      </c>
      <c r="C6" s="17" t="n">
        <v>1584</v>
      </c>
      <c r="D6" s="18" t="n">
        <v>0.15</v>
      </c>
      <c r="E6" s="18" t="n">
        <v>0.6</v>
      </c>
      <c r="F6" s="18" t="n">
        <v>0.145</v>
      </c>
      <c r="G6" s="6" t="s">
        <v>233</v>
      </c>
      <c r="I6" s="15" t="n">
        <f aca="false">B6/(2*(1+D6))</f>
        <v>1584.34782608696</v>
      </c>
      <c r="J6" s="16" t="n">
        <f aca="false">IF(ISNUMBER(C6),(C6-I6)/I6,"n/a")</f>
        <v>-0.000219538968166981</v>
      </c>
    </row>
    <row r="7" customFormat="false" ht="15" hidden="false" customHeight="false" outlineLevel="0" collapsed="false">
      <c r="A7" s="9" t="s">
        <v>235</v>
      </c>
      <c r="B7" s="13" t="n">
        <v>2085</v>
      </c>
      <c r="C7" s="13" t="n">
        <v>906</v>
      </c>
      <c r="D7" s="14" t="n">
        <v>0.15</v>
      </c>
      <c r="E7" s="14" t="n">
        <v>0.6</v>
      </c>
      <c r="F7" s="14" t="n">
        <v>0.11</v>
      </c>
      <c r="G7" s="9" t="s">
        <v>233</v>
      </c>
      <c r="I7" s="15" t="n">
        <f aca="false">B7/(2*(1+D7))</f>
        <v>906.521739130435</v>
      </c>
      <c r="J7" s="16" t="n">
        <f aca="false">IF(ISNUMBER(C7),(C7-I7)/I7,"n/a")</f>
        <v>-0.000575539568345416</v>
      </c>
    </row>
    <row r="8" customFormat="false" ht="15" hidden="false" customHeight="false" outlineLevel="0" collapsed="false">
      <c r="A8" s="6" t="s">
        <v>236</v>
      </c>
      <c r="B8" s="17" t="n">
        <v>2408</v>
      </c>
      <c r="C8" s="17" t="n">
        <v>1047</v>
      </c>
      <c r="D8" s="18" t="n">
        <v>0.15</v>
      </c>
      <c r="E8" s="18" t="n">
        <v>0.6</v>
      </c>
      <c r="F8" s="18" t="n">
        <v>0.11</v>
      </c>
      <c r="G8" s="6" t="s">
        <v>233</v>
      </c>
      <c r="I8" s="15" t="n">
        <f aca="false">B8/(2*(1+D8))</f>
        <v>1046.95652173913</v>
      </c>
      <c r="J8" s="16" t="n">
        <f aca="false">IF(ISNUMBER(C8),(C8-I8)/I8,"n/a")</f>
        <v>4.15282392026012E-005</v>
      </c>
    </row>
    <row r="9" customFormat="false" ht="15" hidden="false" customHeight="false" outlineLevel="0" collapsed="false">
      <c r="A9" s="9" t="s">
        <v>237</v>
      </c>
      <c r="B9" s="13" t="n">
        <v>10600</v>
      </c>
      <c r="C9" s="13" t="n">
        <v>4077</v>
      </c>
      <c r="D9" s="14" t="n">
        <v>0.3</v>
      </c>
      <c r="E9" s="14" t="n">
        <v>1.29</v>
      </c>
      <c r="F9" s="14" t="n">
        <v>0.173</v>
      </c>
      <c r="G9" s="9" t="s">
        <v>233</v>
      </c>
      <c r="I9" s="15" t="n">
        <f aca="false">B9/(2*(1+D9))</f>
        <v>4076.92307692308</v>
      </c>
      <c r="J9" s="16" t="n">
        <f aca="false">IF(ISNUMBER(C9),(C9-I9)/I9,"n/a")</f>
        <v>1.8867924528362E-005</v>
      </c>
    </row>
    <row r="10" customFormat="false" ht="15" hidden="false" customHeight="false" outlineLevel="0" collapsed="false">
      <c r="A10" s="6" t="s">
        <v>238</v>
      </c>
      <c r="B10" s="17" t="n">
        <v>29000</v>
      </c>
      <c r="C10" s="17" t="n">
        <v>11154</v>
      </c>
      <c r="D10" s="18" t="n">
        <v>0.3</v>
      </c>
      <c r="E10" s="18" t="n">
        <v>0.65</v>
      </c>
      <c r="F10" s="18" t="n">
        <v>0.49</v>
      </c>
      <c r="G10" s="6" t="s">
        <v>233</v>
      </c>
      <c r="I10" s="15" t="n">
        <f aca="false">B10/(2*(1+D10))</f>
        <v>11153.8461538462</v>
      </c>
      <c r="J10" s="16" t="n">
        <f aca="false">IF(ISNUMBER(C10),(C10-I10)/I10,"n/a")</f>
        <v>1.37931034482382E-005</v>
      </c>
    </row>
    <row r="11" customFormat="false" ht="15" hidden="false" customHeight="false" outlineLevel="0" collapsed="false">
      <c r="A11" s="9" t="s">
        <v>239</v>
      </c>
      <c r="B11" s="13" t="n">
        <v>1000000</v>
      </c>
      <c r="C11" s="9"/>
      <c r="D11" s="14" t="n">
        <v>0.3</v>
      </c>
      <c r="E11" s="13" t="n">
        <v>0</v>
      </c>
      <c r="F11" s="13" t="n">
        <v>0</v>
      </c>
      <c r="G11" s="9" t="s">
        <v>233</v>
      </c>
      <c r="I11" s="15" t="n">
        <f aca="false">B11/(2*(1+D11))</f>
        <v>384615.384615385</v>
      </c>
      <c r="J11" s="16" t="str">
        <f aca="false">IF(ISNUMBER(C11),(C11-I11)/I11,"n/a")</f>
        <v>n/a</v>
      </c>
    </row>
    <row r="13" customFormat="false" ht="15" hidden="false" customHeight="false" outlineLevel="0" collapsed="false">
      <c r="A13" s="3" t="s">
        <v>115</v>
      </c>
    </row>
    <row r="14" customFormat="false" ht="30" hidden="false" customHeight="true" outlineLevel="0" collapsed="false">
      <c r="A14" s="19" t="s">
        <v>98</v>
      </c>
      <c r="B14" s="19" t="s">
        <v>116</v>
      </c>
      <c r="C14" s="19" t="s">
        <v>117</v>
      </c>
      <c r="D14" s="19" t="s">
        <v>101</v>
      </c>
      <c r="E14" s="19" t="s">
        <v>118</v>
      </c>
      <c r="F14" s="19" t="s">
        <v>119</v>
      </c>
      <c r="G14" s="19" t="s">
        <v>231</v>
      </c>
      <c r="H14" s="19" t="s">
        <v>122</v>
      </c>
      <c r="I14" s="19" t="s">
        <v>123</v>
      </c>
    </row>
    <row r="15" customFormat="false" ht="15" hidden="false" customHeight="false" outlineLevel="0" collapsed="false">
      <c r="A15" s="9" t="str">
        <f aca="false">IF(A5="","",A5)</f>
        <v>gen_Conc3NW</v>
      </c>
      <c r="B15" s="20" t="n">
        <f aca="false">IF(B5="","",IF(ISNUMBER(B5),B5*'Conversion Factors'!$D$18,B5))</f>
        <v>21752.9592599462</v>
      </c>
      <c r="C15" s="20" t="n">
        <f aca="false">IF(C5="","",IF(ISNUMBER(C5),C5*'Conversion Factors'!$D$18,C5))</f>
        <v>9459.60700622699</v>
      </c>
      <c r="D15" s="21" t="n">
        <f aca="false">IF(D5="","",D5)</f>
        <v>0.15</v>
      </c>
      <c r="E15" s="22" t="n">
        <f aca="false">IF(E5="","",IF(ISNUMBER(E5),E5*'Conversion Factors'!$D$23,E5))</f>
        <v>10.8</v>
      </c>
      <c r="F15" s="23" t="n">
        <f aca="false">IF(F5="","",IF(ISNUMBER(F5),F5*'Conversion Factors'!$D$21,F5))</f>
        <v>22.7776822577057</v>
      </c>
      <c r="G15" s="9" t="str">
        <f aca="false">IF(G5="","",G5)</f>
        <v>Isotropic</v>
      </c>
      <c r="H15" s="24" t="n">
        <f aca="false">IF(F5="","",IF(ISNUMBER(F5),F5*'Conversion Factors'!$D$22,F5))</f>
        <v>2322.67718922422</v>
      </c>
      <c r="I15" s="23" t="n">
        <f aca="false">IF(B5="","",IF(ISNUMBER(B5),B5*'Conversion Factors'!$D$18/1000,B5))</f>
        <v>21.7529592599462</v>
      </c>
    </row>
    <row r="16" customFormat="false" ht="15" hidden="false" customHeight="false" outlineLevel="0" collapsed="false">
      <c r="A16" s="6" t="str">
        <f aca="false">IF(A6="","",A6)</f>
        <v>gen_Conc4NW</v>
      </c>
      <c r="B16" s="25" t="n">
        <f aca="false">IF(B6="","",IF(ISNUMBER(B6),B6*'Conversion Factors'!$D$18,B6))</f>
        <v>25124.4955763055</v>
      </c>
      <c r="C16" s="25" t="n">
        <f aca="false">IF(C6="","",IF(ISNUMBER(C6),C6*'Conversion Factors'!$D$18,C6))</f>
        <v>10921.2955523787</v>
      </c>
      <c r="D16" s="26" t="n">
        <f aca="false">IF(D6="","",D6)</f>
        <v>0.15</v>
      </c>
      <c r="E16" s="27" t="n">
        <f aca="false">IF(E6="","",IF(ISNUMBER(E6),E6*'Conversion Factors'!$D$23,E6))</f>
        <v>10.8</v>
      </c>
      <c r="F16" s="28" t="n">
        <f aca="false">IF(F6="","",IF(ISNUMBER(F6),F6*'Conversion Factors'!$D$21,F6))</f>
        <v>22.7776822577057</v>
      </c>
      <c r="G16" s="6" t="str">
        <f aca="false">IF(G6="","",G6)</f>
        <v>Isotropic</v>
      </c>
      <c r="H16" s="29" t="n">
        <f aca="false">IF(F6="","",IF(ISNUMBER(F6),F6*'Conversion Factors'!$D$22,F6))</f>
        <v>2322.67718922422</v>
      </c>
      <c r="I16" s="28" t="n">
        <f aca="false">IF(B6="","",IF(ISNUMBER(B6),B6*'Conversion Factors'!$D$18/1000,B6))</f>
        <v>25.1244955763055</v>
      </c>
    </row>
    <row r="17" customFormat="false" ht="15" hidden="false" customHeight="false" outlineLevel="0" collapsed="false">
      <c r="A17" s="9" t="str">
        <f aca="false">IF(A7="","",A7)</f>
        <v>gen_Conc3LW</v>
      </c>
      <c r="B17" s="20" t="n">
        <f aca="false">IF(B7="","",IF(ISNUMBER(B7),B7*'Conversion Factors'!$D$18,B7))</f>
        <v>14375.568956256</v>
      </c>
      <c r="C17" s="20" t="n">
        <f aca="false">IF(C7="","",IF(ISNUMBER(C7),C7*'Conversion Factors'!$D$18,C7))</f>
        <v>6246.65010761054</v>
      </c>
      <c r="D17" s="21" t="n">
        <f aca="false">IF(D7="","",D7)</f>
        <v>0.15</v>
      </c>
      <c r="E17" s="22" t="n">
        <f aca="false">IF(E7="","",IF(ISNUMBER(E7),E7*'Conversion Factors'!$D$23,E7))</f>
        <v>10.8</v>
      </c>
      <c r="F17" s="23" t="n">
        <f aca="false">IF(F7="","",IF(ISNUMBER(F7),F7*'Conversion Factors'!$D$21,F7))</f>
        <v>17.2796210230871</v>
      </c>
      <c r="G17" s="9" t="str">
        <f aca="false">IF(G7="","",G7)</f>
        <v>Isotropic</v>
      </c>
      <c r="H17" s="24" t="n">
        <f aca="false">IF(F7="","",IF(ISNUMBER(F7),F7*'Conversion Factors'!$D$22,F7))</f>
        <v>1762.03097113562</v>
      </c>
      <c r="I17" s="23" t="n">
        <f aca="false">IF(B7="","",IF(ISNUMBER(B7),B7*'Conversion Factors'!$D$18/1000,B7))</f>
        <v>14.375568956256</v>
      </c>
    </row>
    <row r="18" customFormat="false" ht="15" hidden="false" customHeight="false" outlineLevel="0" collapsed="false">
      <c r="A18" s="6" t="str">
        <f aca="false">IF(A8="","",A8)</f>
        <v>gen_Conc4LW</v>
      </c>
      <c r="B18" s="25" t="n">
        <f aca="false">IF(B8="","",IF(ISNUMBER(B8),B8*'Conversion Factors'!$D$18,B8))</f>
        <v>16602.5755619494</v>
      </c>
      <c r="C18" s="25" t="n">
        <f aca="false">IF(C8="","",IF(ISNUMBER(C8),C8*'Conversion Factors'!$D$18,C8))</f>
        <v>7218.81088594727</v>
      </c>
      <c r="D18" s="26" t="n">
        <f aca="false">IF(D8="","",D8)</f>
        <v>0.15</v>
      </c>
      <c r="E18" s="27" t="n">
        <f aca="false">IF(E8="","",IF(ISNUMBER(E8),E8*'Conversion Factors'!$D$23,E8))</f>
        <v>10.8</v>
      </c>
      <c r="F18" s="28" t="n">
        <f aca="false">IF(F8="","",IF(ISNUMBER(F8),F8*'Conversion Factors'!$D$21,F8))</f>
        <v>17.2796210230871</v>
      </c>
      <c r="G18" s="6" t="str">
        <f aca="false">IF(G8="","",G8)</f>
        <v>Isotropic</v>
      </c>
      <c r="H18" s="29" t="n">
        <f aca="false">IF(F8="","",IF(ISNUMBER(F8),F8*'Conversion Factors'!$D$22,F8))</f>
        <v>1762.03097113562</v>
      </c>
      <c r="I18" s="28" t="n">
        <f aca="false">IF(B8="","",IF(ISNUMBER(B8),B8*'Conversion Factors'!$D$18/1000,B8))</f>
        <v>16.6025755619494</v>
      </c>
    </row>
    <row r="19" customFormat="false" ht="15" hidden="false" customHeight="false" outlineLevel="0" collapsed="false">
      <c r="A19" s="9" t="str">
        <f aca="false">IF(A9="","",A9)</f>
        <v>gen_Alum</v>
      </c>
      <c r="B19" s="20" t="n">
        <f aca="false">IF(B9="","",IF(ISNUMBER(B9),B9*'Conversion Factors'!$D$18,B9))</f>
        <v>73084.4273075846</v>
      </c>
      <c r="C19" s="20" t="n">
        <f aca="false">IF(C9="","",IF(ISNUMBER(C9),C9*'Conversion Factors'!$D$18,C9))</f>
        <v>28109.9254842474</v>
      </c>
      <c r="D19" s="21" t="n">
        <f aca="false">IF(D9="","",D9)</f>
        <v>0.3</v>
      </c>
      <c r="E19" s="22" t="n">
        <f aca="false">IF(E9="","",IF(ISNUMBER(E9),E9*'Conversion Factors'!$D$23,E9))</f>
        <v>23.22</v>
      </c>
      <c r="F19" s="23" t="n">
        <f aca="false">IF(F9="","",IF(ISNUMBER(F9),F9*'Conversion Factors'!$D$21,F9))</f>
        <v>27.1761312454006</v>
      </c>
      <c r="G19" s="9" t="str">
        <f aca="false">IF(G9="","",G9)</f>
        <v>Isotropic</v>
      </c>
      <c r="H19" s="24" t="n">
        <f aca="false">IF(F9="","",IF(ISNUMBER(F9),F9*'Conversion Factors'!$D$22,F9))</f>
        <v>2771.19416369511</v>
      </c>
      <c r="I19" s="23" t="n">
        <f aca="false">IF(B9="","",IF(ISNUMBER(B9),B9*'Conversion Factors'!$D$18/1000,B9))</f>
        <v>73.0844273075846</v>
      </c>
    </row>
    <row r="20" customFormat="false" ht="15" hidden="false" customHeight="false" outlineLevel="0" collapsed="false">
      <c r="A20" s="6" t="str">
        <f aca="false">IF(A10="","",A10)</f>
        <v>gen_Steel</v>
      </c>
      <c r="B20" s="25" t="n">
        <f aca="false">IF(B10="","",IF(ISNUMBER(B10),B10*'Conversion Factors'!$D$18,B10))</f>
        <v>199947.961501882</v>
      </c>
      <c r="C20" s="25" t="n">
        <f aca="false">IF(C10="","",IF(ISNUMBER(C10),C10*'Conversion Factors'!$D$18,C10))</f>
        <v>76904.1228479999</v>
      </c>
      <c r="D20" s="26" t="n">
        <f aca="false">IF(D10="","",D10)</f>
        <v>0.3</v>
      </c>
      <c r="E20" s="27" t="n">
        <f aca="false">IF(E10="","",IF(ISNUMBER(E10),E10*'Conversion Factors'!$D$23,E10))</f>
        <v>11.7</v>
      </c>
      <c r="F20" s="28" t="n">
        <f aca="false">IF(F10="","",IF(ISNUMBER(F10),F10*'Conversion Factors'!$D$21,F10))</f>
        <v>76.9728572846607</v>
      </c>
      <c r="G20" s="6" t="str">
        <f aca="false">IF(G10="","",G10)</f>
        <v>Isotropic</v>
      </c>
      <c r="H20" s="29" t="n">
        <f aca="false">IF(F10="","",IF(ISNUMBER(F10),F10*'Conversion Factors'!$D$22,F10))</f>
        <v>7849.04705324047</v>
      </c>
      <c r="I20" s="28" t="n">
        <f aca="false">IF(B10="","",IF(ISNUMBER(B10),B10*'Conversion Factors'!$D$18/1000,B10))</f>
        <v>199.947961501882</v>
      </c>
    </row>
    <row r="21" customFormat="false" ht="15" hidden="false" customHeight="false" outlineLevel="0" collapsed="false">
      <c r="A21" s="9" t="str">
        <f aca="false">IF(A11="","",A11)</f>
        <v>RIGID</v>
      </c>
      <c r="B21" s="20" t="n">
        <f aca="false">IF(B11="","",IF(ISNUMBER(B11),B11*'Conversion Factors'!$D$18,B11))</f>
        <v>6894757.29316836</v>
      </c>
      <c r="C21" s="20" t="str">
        <f aca="false">IF(C11="","",IF(ISNUMBER(C11),C11*'Conversion Factors'!$D$18,C11))</f>
        <v/>
      </c>
      <c r="D21" s="21" t="n">
        <f aca="false">IF(D11="","",D11)</f>
        <v>0.3</v>
      </c>
      <c r="E21" s="22" t="n">
        <f aca="false">IF(E11="","",IF(ISNUMBER(E11),E11*'Conversion Factors'!$D$23,E11))</f>
        <v>0</v>
      </c>
      <c r="F21" s="23" t="n">
        <f aca="false">IF(F11="","",IF(ISNUMBER(F11),F11*'Conversion Factors'!$D$21,F11))</f>
        <v>0</v>
      </c>
      <c r="G21" s="9" t="str">
        <f aca="false">IF(G11="","",G11)</f>
        <v>Isotropic</v>
      </c>
      <c r="H21" s="24" t="n">
        <f aca="false">IF(F11="","",IF(ISNUMBER(F11),F11*'Conversion Factors'!$D$22,F11))</f>
        <v>0</v>
      </c>
      <c r="I21" s="23" t="n">
        <f aca="false">IF(B11="","",IF(ISNUMBER(B11),B11*'Conversion Factors'!$D$18/1000,B11))</f>
        <v>6894.75729316836</v>
      </c>
    </row>
    <row r="23" customFormat="false" ht="15" hidden="false" customHeight="false" outlineLevel="0" collapsed="false">
      <c r="A23" s="12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25"/>
    <col collapsed="false" customWidth="true" hidden="false" outlineLevel="0" max="7" min="7" style="0" width="17"/>
    <col collapsed="false" customWidth="true" hidden="false" outlineLevel="0" max="8" min="8" style="0" width="25"/>
    <col collapsed="false" customWidth="true" hidden="false" outlineLevel="0" max="9" min="9" style="0" width="10"/>
    <col collapsed="false" customWidth="true" hidden="false" outlineLevel="0" max="16" min="10" style="0" width="16"/>
  </cols>
  <sheetData>
    <row r="1" customFormat="false" ht="17.35" hidden="false" customHeight="false" outlineLevel="0" collapsed="false">
      <c r="A1" s="1" t="s">
        <v>241</v>
      </c>
    </row>
    <row r="2" customFormat="false" ht="15" hidden="false" customHeight="false" outlineLevel="0" collapsed="false">
      <c r="A2" s="12" t="s">
        <v>242</v>
      </c>
    </row>
    <row r="4" customFormat="false" ht="30" hidden="false" customHeight="true" outlineLevel="0" collapsed="false">
      <c r="A4" s="5" t="s">
        <v>243</v>
      </c>
      <c r="B4" s="5" t="s">
        <v>98</v>
      </c>
      <c r="C4" s="5" t="s">
        <v>99</v>
      </c>
      <c r="D4" s="5" t="s">
        <v>100</v>
      </c>
      <c r="E4" s="5" t="s">
        <v>101</v>
      </c>
      <c r="F4" s="5" t="s">
        <v>102</v>
      </c>
      <c r="G4" s="5" t="s">
        <v>103</v>
      </c>
      <c r="H4" s="5" t="s">
        <v>244</v>
      </c>
      <c r="I4" s="5" t="s">
        <v>106</v>
      </c>
      <c r="J4" s="5" t="s">
        <v>116</v>
      </c>
      <c r="K4" s="5" t="s">
        <v>117</v>
      </c>
      <c r="L4" s="5" t="s">
        <v>118</v>
      </c>
      <c r="M4" s="5" t="s">
        <v>119</v>
      </c>
      <c r="N4" s="5" t="s">
        <v>122</v>
      </c>
      <c r="O4" s="5" t="s">
        <v>245</v>
      </c>
      <c r="P4" s="5" t="s">
        <v>121</v>
      </c>
    </row>
    <row r="5" customFormat="false" ht="15" hidden="false" customHeight="false" outlineLevel="0" collapsed="false">
      <c r="A5" s="9" t="s">
        <v>14</v>
      </c>
      <c r="B5" s="9" t="s">
        <v>110</v>
      </c>
      <c r="C5" s="13" t="n">
        <v>29000</v>
      </c>
      <c r="D5" s="13" t="n">
        <v>11154</v>
      </c>
      <c r="E5" s="14" t="n">
        <v>0.3</v>
      </c>
      <c r="F5" s="14" t="n">
        <v>0.65</v>
      </c>
      <c r="G5" s="14" t="n">
        <v>0.49</v>
      </c>
      <c r="H5" s="13" t="n">
        <v>36</v>
      </c>
      <c r="I5" s="13" t="n">
        <v>58</v>
      </c>
      <c r="J5" s="33" t="n">
        <f aca="false">IF(ISNUMBER(C5),C5*'Conversion Factors'!$D$18,"")</f>
        <v>199947.961501882</v>
      </c>
      <c r="K5" s="33" t="n">
        <f aca="false">IF(ISNUMBER(D5),D5*'Conversion Factors'!$D$18,"")</f>
        <v>76904.1228479999</v>
      </c>
      <c r="L5" s="33" t="n">
        <f aca="false">IF(ISNUMBER(F5),F5*'Conversion Factors'!$D$23,"")</f>
        <v>11.7</v>
      </c>
      <c r="M5" s="33" t="n">
        <f aca="false">IF(ISNUMBER(G5),G5*'Conversion Factors'!$D$21,"")</f>
        <v>76.9728572846607</v>
      </c>
      <c r="N5" s="33" t="n">
        <f aca="false">IF(ISNUMBER(G5),G5*'Conversion Factors'!$D$22,"")</f>
        <v>7849.04705324047</v>
      </c>
      <c r="O5" s="33" t="n">
        <f aca="false">IF(ISNUMBER(H5),H5*'Conversion Factors'!$D$18,"")</f>
        <v>248.211262554061</v>
      </c>
      <c r="P5" s="33" t="n">
        <f aca="false">IF(ISNUMBER(I5),I5*'Conversion Factors'!$D$18,"")</f>
        <v>399.895923003765</v>
      </c>
    </row>
    <row r="6" customFormat="false" ht="15" hidden="false" customHeight="false" outlineLevel="0" collapsed="false">
      <c r="A6" s="6" t="s">
        <v>14</v>
      </c>
      <c r="B6" s="6" t="s">
        <v>111</v>
      </c>
      <c r="C6" s="17" t="n">
        <v>29000</v>
      </c>
      <c r="D6" s="17" t="n">
        <v>11154</v>
      </c>
      <c r="E6" s="18" t="n">
        <v>0.3</v>
      </c>
      <c r="F6" s="18" t="n">
        <v>0.65</v>
      </c>
      <c r="G6" s="18" t="n">
        <v>0.49</v>
      </c>
      <c r="H6" s="17" t="n">
        <v>50</v>
      </c>
      <c r="I6" s="17" t="n">
        <v>58</v>
      </c>
      <c r="J6" s="34" t="n">
        <f aca="false">IF(ISNUMBER(C6),C6*'Conversion Factors'!$D$18,"")</f>
        <v>199947.961501882</v>
      </c>
      <c r="K6" s="34" t="n">
        <f aca="false">IF(ISNUMBER(D6),D6*'Conversion Factors'!$D$18,"")</f>
        <v>76904.1228479999</v>
      </c>
      <c r="L6" s="34" t="n">
        <f aca="false">IF(ISNUMBER(F6),F6*'Conversion Factors'!$D$23,"")</f>
        <v>11.7</v>
      </c>
      <c r="M6" s="34" t="n">
        <f aca="false">IF(ISNUMBER(G6),G6*'Conversion Factors'!$D$21,"")</f>
        <v>76.9728572846607</v>
      </c>
      <c r="N6" s="34" t="n">
        <f aca="false">IF(ISNUMBER(G6),G6*'Conversion Factors'!$D$22,"")</f>
        <v>7849.04705324047</v>
      </c>
      <c r="O6" s="34" t="n">
        <f aca="false">IF(ISNUMBER(H6),H6*'Conversion Factors'!$D$18,"")</f>
        <v>344.737864658418</v>
      </c>
      <c r="P6" s="34" t="n">
        <f aca="false">IF(ISNUMBER(I6),I6*'Conversion Factors'!$D$18,"")</f>
        <v>399.895923003765</v>
      </c>
    </row>
    <row r="7" customFormat="false" ht="15" hidden="false" customHeight="false" outlineLevel="0" collapsed="false">
      <c r="A7" s="9" t="s">
        <v>14</v>
      </c>
      <c r="B7" s="9" t="s">
        <v>112</v>
      </c>
      <c r="C7" s="13" t="n">
        <v>29000</v>
      </c>
      <c r="D7" s="13" t="n">
        <v>11154</v>
      </c>
      <c r="E7" s="14" t="n">
        <v>0.3</v>
      </c>
      <c r="F7" s="14" t="n">
        <v>0.65</v>
      </c>
      <c r="G7" s="14" t="n">
        <v>0.49</v>
      </c>
      <c r="H7" s="13" t="n">
        <v>50</v>
      </c>
      <c r="I7" s="13" t="n">
        <v>58</v>
      </c>
      <c r="J7" s="33" t="n">
        <f aca="false">IF(ISNUMBER(C7),C7*'Conversion Factors'!$D$18,"")</f>
        <v>199947.961501882</v>
      </c>
      <c r="K7" s="33" t="n">
        <f aca="false">IF(ISNUMBER(D7),D7*'Conversion Factors'!$D$18,"")</f>
        <v>76904.1228479999</v>
      </c>
      <c r="L7" s="33" t="n">
        <f aca="false">IF(ISNUMBER(F7),F7*'Conversion Factors'!$D$23,"")</f>
        <v>11.7</v>
      </c>
      <c r="M7" s="33" t="n">
        <f aca="false">IF(ISNUMBER(G7),G7*'Conversion Factors'!$D$21,"")</f>
        <v>76.9728572846607</v>
      </c>
      <c r="N7" s="33" t="n">
        <f aca="false">IF(ISNUMBER(G7),G7*'Conversion Factors'!$D$22,"")</f>
        <v>7849.04705324047</v>
      </c>
      <c r="O7" s="33" t="n">
        <f aca="false">IF(ISNUMBER(H7),H7*'Conversion Factors'!$D$18,"")</f>
        <v>344.737864658418</v>
      </c>
      <c r="P7" s="33" t="n">
        <f aca="false">IF(ISNUMBER(I7),I7*'Conversion Factors'!$D$18,"")</f>
        <v>399.895923003765</v>
      </c>
    </row>
    <row r="8" customFormat="false" ht="15" hidden="false" customHeight="false" outlineLevel="0" collapsed="false">
      <c r="A8" s="6" t="s">
        <v>14</v>
      </c>
      <c r="B8" s="6" t="s">
        <v>113</v>
      </c>
      <c r="C8" s="17" t="n">
        <v>29000</v>
      </c>
      <c r="D8" s="17" t="n">
        <v>11154</v>
      </c>
      <c r="E8" s="18" t="n">
        <v>0.3</v>
      </c>
      <c r="F8" s="18" t="n">
        <v>0.65</v>
      </c>
      <c r="G8" s="18" t="n">
        <v>0.49</v>
      </c>
      <c r="H8" s="17" t="n">
        <v>42</v>
      </c>
      <c r="I8" s="17" t="n">
        <v>58</v>
      </c>
      <c r="J8" s="34" t="n">
        <f aca="false">IF(ISNUMBER(C8),C8*'Conversion Factors'!$D$18,"")</f>
        <v>199947.961501882</v>
      </c>
      <c r="K8" s="34" t="n">
        <f aca="false">IF(ISNUMBER(D8),D8*'Conversion Factors'!$D$18,"")</f>
        <v>76904.1228479999</v>
      </c>
      <c r="L8" s="34" t="n">
        <f aca="false">IF(ISNUMBER(F8),F8*'Conversion Factors'!$D$23,"")</f>
        <v>11.7</v>
      </c>
      <c r="M8" s="34" t="n">
        <f aca="false">IF(ISNUMBER(G8),G8*'Conversion Factors'!$D$21,"")</f>
        <v>76.9728572846607</v>
      </c>
      <c r="N8" s="34" t="n">
        <f aca="false">IF(ISNUMBER(G8),G8*'Conversion Factors'!$D$22,"")</f>
        <v>7849.04705324047</v>
      </c>
      <c r="O8" s="34" t="n">
        <f aca="false">IF(ISNUMBER(H8),H8*'Conversion Factors'!$D$18,"")</f>
        <v>289.579806313071</v>
      </c>
      <c r="P8" s="34" t="n">
        <f aca="false">IF(ISNUMBER(I8),I8*'Conversion Factors'!$D$18,"")</f>
        <v>399.895923003765</v>
      </c>
    </row>
    <row r="9" customFormat="false" ht="15" hidden="false" customHeight="false" outlineLevel="0" collapsed="false">
      <c r="A9" s="9" t="s">
        <v>14</v>
      </c>
      <c r="B9" s="9" t="s">
        <v>114</v>
      </c>
      <c r="C9" s="13" t="n">
        <v>29000</v>
      </c>
      <c r="D9" s="13" t="n">
        <v>11154</v>
      </c>
      <c r="E9" s="14" t="n">
        <v>0.3</v>
      </c>
      <c r="F9" s="14" t="n">
        <v>0.65</v>
      </c>
      <c r="G9" s="14" t="n">
        <v>0.49</v>
      </c>
      <c r="H9" s="13" t="n">
        <v>46</v>
      </c>
      <c r="I9" s="13" t="n">
        <v>58</v>
      </c>
      <c r="J9" s="33" t="n">
        <f aca="false">IF(ISNUMBER(C9),C9*'Conversion Factors'!$D$18,"")</f>
        <v>199947.961501882</v>
      </c>
      <c r="K9" s="33" t="n">
        <f aca="false">IF(ISNUMBER(D9),D9*'Conversion Factors'!$D$18,"")</f>
        <v>76904.1228479999</v>
      </c>
      <c r="L9" s="33" t="n">
        <f aca="false">IF(ISNUMBER(F9),F9*'Conversion Factors'!$D$23,"")</f>
        <v>11.7</v>
      </c>
      <c r="M9" s="33" t="n">
        <f aca="false">IF(ISNUMBER(G9),G9*'Conversion Factors'!$D$21,"")</f>
        <v>76.9728572846607</v>
      </c>
      <c r="N9" s="33" t="n">
        <f aca="false">IF(ISNUMBER(G9),G9*'Conversion Factors'!$D$22,"")</f>
        <v>7849.04705324047</v>
      </c>
      <c r="O9" s="33" t="n">
        <f aca="false">IF(ISNUMBER(H9),H9*'Conversion Factors'!$D$18,"")</f>
        <v>317.158835485745</v>
      </c>
      <c r="P9" s="33" t="n">
        <f aca="false">IF(ISNUMBER(I9),I9*'Conversion Factors'!$D$18,"")</f>
        <v>399.895923003765</v>
      </c>
    </row>
    <row r="10" customFormat="false" ht="15" hidden="false" customHeight="false" outlineLevel="0" collapsed="false">
      <c r="A10" s="6" t="s">
        <v>16</v>
      </c>
      <c r="B10" s="6" t="s">
        <v>126</v>
      </c>
      <c r="C10" s="17" t="n">
        <v>29500</v>
      </c>
      <c r="D10" s="17" t="n">
        <v>11346</v>
      </c>
      <c r="E10" s="18" t="n">
        <v>0.3</v>
      </c>
      <c r="F10" s="18" t="n">
        <v>0.65</v>
      </c>
      <c r="G10" s="18" t="n">
        <v>0.49</v>
      </c>
      <c r="H10" s="17" t="n">
        <v>33</v>
      </c>
      <c r="I10" s="17" t="n">
        <v>52</v>
      </c>
      <c r="J10" s="34" t="n">
        <f aca="false">IF(ISNUMBER(C10),C10*'Conversion Factors'!$D$18,"")</f>
        <v>203395.340148467</v>
      </c>
      <c r="K10" s="34" t="n">
        <f aca="false">IF(ISNUMBER(D10),D10*'Conversion Factors'!$D$18,"")</f>
        <v>78227.9162482882</v>
      </c>
      <c r="L10" s="34" t="n">
        <f aca="false">IF(ISNUMBER(F10),F10*'Conversion Factors'!$D$23,"")</f>
        <v>11.7</v>
      </c>
      <c r="M10" s="34" t="n">
        <f aca="false">IF(ISNUMBER(G10),G10*'Conversion Factors'!$D$21,"")</f>
        <v>76.9728572846607</v>
      </c>
      <c r="N10" s="34" t="n">
        <f aca="false">IF(ISNUMBER(G10),G10*'Conversion Factors'!$D$22,"")</f>
        <v>7849.04705324047</v>
      </c>
      <c r="O10" s="34" t="n">
        <f aca="false">IF(ISNUMBER(H10),H10*'Conversion Factors'!$D$18,"")</f>
        <v>227.526990674556</v>
      </c>
      <c r="P10" s="34" t="n">
        <f aca="false">IF(ISNUMBER(I10),I10*'Conversion Factors'!$D$18,"")</f>
        <v>358.527379244755</v>
      </c>
    </row>
    <row r="11" customFormat="false" ht="15" hidden="false" customHeight="false" outlineLevel="0" collapsed="false">
      <c r="A11" s="9" t="s">
        <v>16</v>
      </c>
      <c r="B11" s="9" t="s">
        <v>127</v>
      </c>
      <c r="C11" s="13" t="n">
        <v>29500</v>
      </c>
      <c r="D11" s="13" t="n">
        <v>11346</v>
      </c>
      <c r="E11" s="14" t="n">
        <v>0.3</v>
      </c>
      <c r="F11" s="14" t="n">
        <v>0.65</v>
      </c>
      <c r="G11" s="14" t="n">
        <v>0.49</v>
      </c>
      <c r="H11" s="13" t="n">
        <v>55</v>
      </c>
      <c r="I11" s="13" t="n">
        <v>70</v>
      </c>
      <c r="J11" s="33" t="n">
        <f aca="false">IF(ISNUMBER(C11),C11*'Conversion Factors'!$D$18,"")</f>
        <v>203395.340148467</v>
      </c>
      <c r="K11" s="33" t="n">
        <f aca="false">IF(ISNUMBER(D11),D11*'Conversion Factors'!$D$18,"")</f>
        <v>78227.9162482882</v>
      </c>
      <c r="L11" s="33" t="n">
        <f aca="false">IF(ISNUMBER(F11),F11*'Conversion Factors'!$D$23,"")</f>
        <v>11.7</v>
      </c>
      <c r="M11" s="33" t="n">
        <f aca="false">IF(ISNUMBER(G11),G11*'Conversion Factors'!$D$21,"")</f>
        <v>76.9728572846607</v>
      </c>
      <c r="N11" s="33" t="n">
        <f aca="false">IF(ISNUMBER(G11),G11*'Conversion Factors'!$D$22,"")</f>
        <v>7849.04705324047</v>
      </c>
      <c r="O11" s="33" t="n">
        <f aca="false">IF(ISNUMBER(H11),H11*'Conversion Factors'!$D$18,"")</f>
        <v>379.21165112426</v>
      </c>
      <c r="P11" s="33" t="n">
        <f aca="false">IF(ISNUMBER(I11),I11*'Conversion Factors'!$D$18,"")</f>
        <v>482.633010521785</v>
      </c>
    </row>
    <row r="12" customFormat="false" ht="15" hidden="false" customHeight="false" outlineLevel="0" collapsed="false">
      <c r="A12" s="6" t="s">
        <v>18</v>
      </c>
      <c r="B12" s="6" t="s">
        <v>137</v>
      </c>
      <c r="C12" s="6"/>
      <c r="D12" s="6"/>
      <c r="E12" s="18" t="n">
        <v>0.3</v>
      </c>
      <c r="F12" s="18" t="n">
        <v>0.3</v>
      </c>
      <c r="G12" s="18" t="n">
        <v>0.035</v>
      </c>
      <c r="H12" s="6"/>
      <c r="I12" s="6"/>
      <c r="J12" s="34" t="str">
        <f aca="false">IF(ISNUMBER(C12),C12*'Conversion Factors'!$D$18,"")</f>
        <v/>
      </c>
      <c r="K12" s="34" t="str">
        <f aca="false">IF(ISNUMBER(D12),D12*'Conversion Factors'!$D$18,"")</f>
        <v/>
      </c>
      <c r="L12" s="34" t="n">
        <f aca="false">IF(ISNUMBER(F12),F12*'Conversion Factors'!$D$23,"")</f>
        <v>5.4</v>
      </c>
      <c r="M12" s="34" t="n">
        <f aca="false">IF(ISNUMBER(G12),G12*'Conversion Factors'!$D$21,"")</f>
        <v>5.49806123461862</v>
      </c>
      <c r="N12" s="34" t="n">
        <f aca="false">IF(ISNUMBER(G12),G12*'Conversion Factors'!$D$22,"")</f>
        <v>560.646218088605</v>
      </c>
      <c r="O12" s="34" t="str">
        <f aca="false">IF(ISNUMBER(H12),H12*'Conversion Factors'!$D$18,"")</f>
        <v/>
      </c>
      <c r="P12" s="34" t="str">
        <f aca="false">IF(ISNUMBER(I12),I12*'Conversion Factors'!$D$18,"")</f>
        <v/>
      </c>
    </row>
    <row r="13" customFormat="false" ht="15" hidden="false" customHeight="false" outlineLevel="0" collapsed="false">
      <c r="A13" s="9" t="s">
        <v>18</v>
      </c>
      <c r="B13" s="9" t="s">
        <v>143</v>
      </c>
      <c r="C13" s="9"/>
      <c r="D13" s="9"/>
      <c r="E13" s="14" t="n">
        <v>0.3</v>
      </c>
      <c r="F13" s="14" t="n">
        <v>0.3</v>
      </c>
      <c r="G13" s="14" t="n">
        <v>0.035</v>
      </c>
      <c r="H13" s="9"/>
      <c r="I13" s="9"/>
      <c r="J13" s="33" t="str">
        <f aca="false">IF(ISNUMBER(C13),C13*'Conversion Factors'!$D$18,"")</f>
        <v/>
      </c>
      <c r="K13" s="33" t="str">
        <f aca="false">IF(ISNUMBER(D13),D13*'Conversion Factors'!$D$18,"")</f>
        <v/>
      </c>
      <c r="L13" s="33" t="n">
        <f aca="false">IF(ISNUMBER(F13),F13*'Conversion Factors'!$D$23,"")</f>
        <v>5.4</v>
      </c>
      <c r="M13" s="33" t="n">
        <f aca="false">IF(ISNUMBER(G13),G13*'Conversion Factors'!$D$21,"")</f>
        <v>5.49806123461862</v>
      </c>
      <c r="N13" s="33" t="n">
        <f aca="false">IF(ISNUMBER(G13),G13*'Conversion Factors'!$D$22,"")</f>
        <v>560.646218088605</v>
      </c>
      <c r="O13" s="33" t="str">
        <f aca="false">IF(ISNUMBER(H13),H13*'Conversion Factors'!$D$18,"")</f>
        <v/>
      </c>
      <c r="P13" s="33" t="str">
        <f aca="false">IF(ISNUMBER(I13),I13*'Conversion Factors'!$D$18,"")</f>
        <v/>
      </c>
    </row>
    <row r="14" customFormat="false" ht="15" hidden="false" customHeight="false" outlineLevel="0" collapsed="false">
      <c r="A14" s="6" t="s">
        <v>18</v>
      </c>
      <c r="B14" s="6" t="s">
        <v>145</v>
      </c>
      <c r="C14" s="6"/>
      <c r="D14" s="6"/>
      <c r="E14" s="18" t="n">
        <v>0.3</v>
      </c>
      <c r="F14" s="18" t="n">
        <v>0.3</v>
      </c>
      <c r="G14" s="18" t="n">
        <v>0.035</v>
      </c>
      <c r="H14" s="6"/>
      <c r="I14" s="6"/>
      <c r="J14" s="34" t="str">
        <f aca="false">IF(ISNUMBER(C14),C14*'Conversion Factors'!$D$18,"")</f>
        <v/>
      </c>
      <c r="K14" s="34" t="str">
        <f aca="false">IF(ISNUMBER(D14),D14*'Conversion Factors'!$D$18,"")</f>
        <v/>
      </c>
      <c r="L14" s="34" t="n">
        <f aca="false">IF(ISNUMBER(F14),F14*'Conversion Factors'!$D$23,"")</f>
        <v>5.4</v>
      </c>
      <c r="M14" s="34" t="n">
        <f aca="false">IF(ISNUMBER(G14),G14*'Conversion Factors'!$D$21,"")</f>
        <v>5.49806123461862</v>
      </c>
      <c r="N14" s="34" t="n">
        <f aca="false">IF(ISNUMBER(G14),G14*'Conversion Factors'!$D$22,"")</f>
        <v>560.646218088605</v>
      </c>
      <c r="O14" s="34" t="str">
        <f aca="false">IF(ISNUMBER(H14),H14*'Conversion Factors'!$D$18,"")</f>
        <v/>
      </c>
      <c r="P14" s="34" t="str">
        <f aca="false">IF(ISNUMBER(I14),I14*'Conversion Factors'!$D$18,"")</f>
        <v/>
      </c>
    </row>
    <row r="15" customFormat="false" ht="15" hidden="false" customHeight="false" outlineLevel="0" collapsed="false">
      <c r="A15" s="9" t="s">
        <v>18</v>
      </c>
      <c r="B15" s="9" t="s">
        <v>147</v>
      </c>
      <c r="C15" s="9"/>
      <c r="D15" s="9"/>
      <c r="E15" s="14" t="n">
        <v>0.3</v>
      </c>
      <c r="F15" s="14" t="n">
        <v>0.3</v>
      </c>
      <c r="G15" s="14" t="n">
        <v>0.035</v>
      </c>
      <c r="H15" s="9"/>
      <c r="I15" s="9"/>
      <c r="J15" s="33" t="str">
        <f aca="false">IF(ISNUMBER(C15),C15*'Conversion Factors'!$D$18,"")</f>
        <v/>
      </c>
      <c r="K15" s="33" t="str">
        <f aca="false">IF(ISNUMBER(D15),D15*'Conversion Factors'!$D$18,"")</f>
        <v/>
      </c>
      <c r="L15" s="33" t="n">
        <f aca="false">IF(ISNUMBER(F15),F15*'Conversion Factors'!$D$23,"")</f>
        <v>5.4</v>
      </c>
      <c r="M15" s="33" t="n">
        <f aca="false">IF(ISNUMBER(G15),G15*'Conversion Factors'!$D$21,"")</f>
        <v>5.49806123461862</v>
      </c>
      <c r="N15" s="33" t="n">
        <f aca="false">IF(ISNUMBER(G15),G15*'Conversion Factors'!$D$22,"")</f>
        <v>560.646218088605</v>
      </c>
      <c r="O15" s="33" t="str">
        <f aca="false">IF(ISNUMBER(H15),H15*'Conversion Factors'!$D$18,"")</f>
        <v/>
      </c>
      <c r="P15" s="33" t="str">
        <f aca="false">IF(ISNUMBER(I15),I15*'Conversion Factors'!$D$18,"")</f>
        <v/>
      </c>
    </row>
    <row r="16" customFormat="false" ht="15" hidden="false" customHeight="false" outlineLevel="0" collapsed="false">
      <c r="A16" s="6" t="s">
        <v>18</v>
      </c>
      <c r="B16" s="6" t="s">
        <v>149</v>
      </c>
      <c r="C16" s="6"/>
      <c r="D16" s="6"/>
      <c r="E16" s="18" t="n">
        <v>0.3</v>
      </c>
      <c r="F16" s="18" t="n">
        <v>0.3</v>
      </c>
      <c r="G16" s="18" t="n">
        <v>0.035</v>
      </c>
      <c r="H16" s="6"/>
      <c r="I16" s="6"/>
      <c r="J16" s="34" t="str">
        <f aca="false">IF(ISNUMBER(C16),C16*'Conversion Factors'!$D$18,"")</f>
        <v/>
      </c>
      <c r="K16" s="34" t="str">
        <f aca="false">IF(ISNUMBER(D16),D16*'Conversion Factors'!$D$18,"")</f>
        <v/>
      </c>
      <c r="L16" s="34" t="n">
        <f aca="false">IF(ISNUMBER(F16),F16*'Conversion Factors'!$D$23,"")</f>
        <v>5.4</v>
      </c>
      <c r="M16" s="34" t="n">
        <f aca="false">IF(ISNUMBER(G16),G16*'Conversion Factors'!$D$21,"")</f>
        <v>5.49806123461862</v>
      </c>
      <c r="N16" s="34" t="n">
        <f aca="false">IF(ISNUMBER(G16),G16*'Conversion Factors'!$D$22,"")</f>
        <v>560.646218088605</v>
      </c>
      <c r="O16" s="34" t="str">
        <f aca="false">IF(ISNUMBER(H16),H16*'Conversion Factors'!$D$18,"")</f>
        <v/>
      </c>
      <c r="P16" s="34" t="str">
        <f aca="false">IF(ISNUMBER(I16),I16*'Conversion Factors'!$D$18,"")</f>
        <v/>
      </c>
    </row>
    <row r="17" customFormat="false" ht="15" hidden="false" customHeight="false" outlineLevel="0" collapsed="false">
      <c r="A17" s="9" t="s">
        <v>18</v>
      </c>
      <c r="B17" s="9" t="s">
        <v>151</v>
      </c>
      <c r="C17" s="9"/>
      <c r="D17" s="9"/>
      <c r="E17" s="14" t="n">
        <v>0.3</v>
      </c>
      <c r="F17" s="14" t="n">
        <v>0.3</v>
      </c>
      <c r="G17" s="14" t="n">
        <v>0.035</v>
      </c>
      <c r="H17" s="9"/>
      <c r="I17" s="9"/>
      <c r="J17" s="33" t="str">
        <f aca="false">IF(ISNUMBER(C17),C17*'Conversion Factors'!$D$18,"")</f>
        <v/>
      </c>
      <c r="K17" s="33" t="str">
        <f aca="false">IF(ISNUMBER(D17),D17*'Conversion Factors'!$D$18,"")</f>
        <v/>
      </c>
      <c r="L17" s="33" t="n">
        <f aca="false">IF(ISNUMBER(F17),F17*'Conversion Factors'!$D$23,"")</f>
        <v>5.4</v>
      </c>
      <c r="M17" s="33" t="n">
        <f aca="false">IF(ISNUMBER(G17),G17*'Conversion Factors'!$D$21,"")</f>
        <v>5.49806123461862</v>
      </c>
      <c r="N17" s="33" t="n">
        <f aca="false">IF(ISNUMBER(G17),G17*'Conversion Factors'!$D$22,"")</f>
        <v>560.646218088605</v>
      </c>
      <c r="O17" s="33" t="str">
        <f aca="false">IF(ISNUMBER(H17),H17*'Conversion Factors'!$D$18,"")</f>
        <v/>
      </c>
      <c r="P17" s="33" t="str">
        <f aca="false">IF(ISNUMBER(I17),I17*'Conversion Factors'!$D$18,"")</f>
        <v/>
      </c>
    </row>
    <row r="18" customFormat="false" ht="15" hidden="false" customHeight="false" outlineLevel="0" collapsed="false">
      <c r="A18" s="6" t="s">
        <v>18</v>
      </c>
      <c r="B18" s="6" t="s">
        <v>153</v>
      </c>
      <c r="C18" s="6"/>
      <c r="D18" s="6"/>
      <c r="E18" s="18" t="n">
        <v>0.3</v>
      </c>
      <c r="F18" s="18" t="n">
        <v>0.3</v>
      </c>
      <c r="G18" s="18" t="n">
        <v>0.035</v>
      </c>
      <c r="H18" s="6"/>
      <c r="I18" s="6"/>
      <c r="J18" s="34" t="str">
        <f aca="false">IF(ISNUMBER(C18),C18*'Conversion Factors'!$D$18,"")</f>
        <v/>
      </c>
      <c r="K18" s="34" t="str">
        <f aca="false">IF(ISNUMBER(D18),D18*'Conversion Factors'!$D$18,"")</f>
        <v/>
      </c>
      <c r="L18" s="34" t="n">
        <f aca="false">IF(ISNUMBER(F18),F18*'Conversion Factors'!$D$23,"")</f>
        <v>5.4</v>
      </c>
      <c r="M18" s="34" t="n">
        <f aca="false">IF(ISNUMBER(G18),G18*'Conversion Factors'!$D$21,"")</f>
        <v>5.49806123461862</v>
      </c>
      <c r="N18" s="34" t="n">
        <f aca="false">IF(ISNUMBER(G18),G18*'Conversion Factors'!$D$22,"")</f>
        <v>560.646218088605</v>
      </c>
      <c r="O18" s="34" t="str">
        <f aca="false">IF(ISNUMBER(H18),H18*'Conversion Factors'!$D$18,"")</f>
        <v/>
      </c>
      <c r="P18" s="34" t="str">
        <f aca="false">IF(ISNUMBER(I18),I18*'Conversion Factors'!$D$18,"")</f>
        <v/>
      </c>
    </row>
    <row r="19" customFormat="false" ht="15" hidden="false" customHeight="false" outlineLevel="0" collapsed="false">
      <c r="A19" s="9" t="s">
        <v>18</v>
      </c>
      <c r="B19" s="9" t="s">
        <v>158</v>
      </c>
      <c r="C19" s="9"/>
      <c r="D19" s="9"/>
      <c r="E19" s="14" t="n">
        <v>0.3</v>
      </c>
      <c r="F19" s="14" t="n">
        <v>0.3</v>
      </c>
      <c r="G19" s="14" t="n">
        <v>0.035</v>
      </c>
      <c r="H19" s="9"/>
      <c r="I19" s="9"/>
      <c r="J19" s="33" t="str">
        <f aca="false">IF(ISNUMBER(C19),C19*'Conversion Factors'!$D$18,"")</f>
        <v/>
      </c>
      <c r="K19" s="33" t="str">
        <f aca="false">IF(ISNUMBER(D19),D19*'Conversion Factors'!$D$18,"")</f>
        <v/>
      </c>
      <c r="L19" s="33" t="n">
        <f aca="false">IF(ISNUMBER(F19),F19*'Conversion Factors'!$D$23,"")</f>
        <v>5.4</v>
      </c>
      <c r="M19" s="33" t="n">
        <f aca="false">IF(ISNUMBER(G19),G19*'Conversion Factors'!$D$21,"")</f>
        <v>5.49806123461862</v>
      </c>
      <c r="N19" s="33" t="n">
        <f aca="false">IF(ISNUMBER(G19),G19*'Conversion Factors'!$D$22,"")</f>
        <v>560.646218088605</v>
      </c>
      <c r="O19" s="33" t="str">
        <f aca="false">IF(ISNUMBER(H19),H19*'Conversion Factors'!$D$18,"")</f>
        <v/>
      </c>
      <c r="P19" s="33" t="str">
        <f aca="false">IF(ISNUMBER(I19),I19*'Conversion Factors'!$D$18,"")</f>
        <v/>
      </c>
    </row>
    <row r="20" customFormat="false" ht="15" hidden="false" customHeight="false" outlineLevel="0" collapsed="false">
      <c r="A20" s="6" t="s">
        <v>18</v>
      </c>
      <c r="B20" s="6" t="s">
        <v>160</v>
      </c>
      <c r="C20" s="6"/>
      <c r="D20" s="6"/>
      <c r="E20" s="18" t="n">
        <v>0.3</v>
      </c>
      <c r="F20" s="18" t="n">
        <v>0.3</v>
      </c>
      <c r="G20" s="18" t="n">
        <v>0.035</v>
      </c>
      <c r="H20" s="6"/>
      <c r="I20" s="6"/>
      <c r="J20" s="34" t="str">
        <f aca="false">IF(ISNUMBER(C20),C20*'Conversion Factors'!$D$18,"")</f>
        <v/>
      </c>
      <c r="K20" s="34" t="str">
        <f aca="false">IF(ISNUMBER(D20),D20*'Conversion Factors'!$D$18,"")</f>
        <v/>
      </c>
      <c r="L20" s="34" t="n">
        <f aca="false">IF(ISNUMBER(F20),F20*'Conversion Factors'!$D$23,"")</f>
        <v>5.4</v>
      </c>
      <c r="M20" s="34" t="n">
        <f aca="false">IF(ISNUMBER(G20),G20*'Conversion Factors'!$D$21,"")</f>
        <v>5.49806123461862</v>
      </c>
      <c r="N20" s="34" t="n">
        <f aca="false">IF(ISNUMBER(G20),G20*'Conversion Factors'!$D$22,"")</f>
        <v>560.646218088605</v>
      </c>
      <c r="O20" s="34" t="str">
        <f aca="false">IF(ISNUMBER(H20),H20*'Conversion Factors'!$D$18,"")</f>
        <v/>
      </c>
      <c r="P20" s="34" t="str">
        <f aca="false">IF(ISNUMBER(I20),I20*'Conversion Factors'!$D$18,"")</f>
        <v/>
      </c>
    </row>
    <row r="21" customFormat="false" ht="15" hidden="false" customHeight="false" outlineLevel="0" collapsed="false">
      <c r="A21" s="9" t="s">
        <v>18</v>
      </c>
      <c r="B21" s="9" t="s">
        <v>162</v>
      </c>
      <c r="C21" s="9"/>
      <c r="D21" s="9"/>
      <c r="E21" s="14" t="n">
        <v>0.3</v>
      </c>
      <c r="F21" s="14" t="n">
        <v>0.3</v>
      </c>
      <c r="G21" s="14" t="n">
        <v>0.035</v>
      </c>
      <c r="H21" s="9"/>
      <c r="I21" s="9"/>
      <c r="J21" s="33" t="str">
        <f aca="false">IF(ISNUMBER(C21),C21*'Conversion Factors'!$D$18,"")</f>
        <v/>
      </c>
      <c r="K21" s="33" t="str">
        <f aca="false">IF(ISNUMBER(D21),D21*'Conversion Factors'!$D$18,"")</f>
        <v/>
      </c>
      <c r="L21" s="33" t="n">
        <f aca="false">IF(ISNUMBER(F21),F21*'Conversion Factors'!$D$23,"")</f>
        <v>5.4</v>
      </c>
      <c r="M21" s="33" t="n">
        <f aca="false">IF(ISNUMBER(G21),G21*'Conversion Factors'!$D$21,"")</f>
        <v>5.49806123461862</v>
      </c>
      <c r="N21" s="33" t="n">
        <f aca="false">IF(ISNUMBER(G21),G21*'Conversion Factors'!$D$22,"")</f>
        <v>560.646218088605</v>
      </c>
      <c r="O21" s="33" t="str">
        <f aca="false">IF(ISNUMBER(H21),H21*'Conversion Factors'!$D$18,"")</f>
        <v/>
      </c>
      <c r="P21" s="33" t="str">
        <f aca="false">IF(ISNUMBER(I21),I21*'Conversion Factors'!$D$18,"")</f>
        <v/>
      </c>
    </row>
    <row r="22" customFormat="false" ht="15" hidden="false" customHeight="false" outlineLevel="0" collapsed="false">
      <c r="A22" s="6" t="s">
        <v>18</v>
      </c>
      <c r="B22" s="6" t="s">
        <v>164</v>
      </c>
      <c r="C22" s="6"/>
      <c r="D22" s="6"/>
      <c r="E22" s="18" t="n">
        <v>0.3</v>
      </c>
      <c r="F22" s="18" t="n">
        <v>0.3</v>
      </c>
      <c r="G22" s="18" t="n">
        <v>0.035</v>
      </c>
      <c r="H22" s="6"/>
      <c r="I22" s="6"/>
      <c r="J22" s="34" t="str">
        <f aca="false">IF(ISNUMBER(C22),C22*'Conversion Factors'!$D$18,"")</f>
        <v/>
      </c>
      <c r="K22" s="34" t="str">
        <f aca="false">IF(ISNUMBER(D22),D22*'Conversion Factors'!$D$18,"")</f>
        <v/>
      </c>
      <c r="L22" s="34" t="n">
        <f aca="false">IF(ISNUMBER(F22),F22*'Conversion Factors'!$D$23,"")</f>
        <v>5.4</v>
      </c>
      <c r="M22" s="34" t="n">
        <f aca="false">IF(ISNUMBER(G22),G22*'Conversion Factors'!$D$21,"")</f>
        <v>5.49806123461862</v>
      </c>
      <c r="N22" s="34" t="n">
        <f aca="false">IF(ISNUMBER(G22),G22*'Conversion Factors'!$D$22,"")</f>
        <v>560.646218088605</v>
      </c>
      <c r="O22" s="34" t="str">
        <f aca="false">IF(ISNUMBER(H22),H22*'Conversion Factors'!$D$18,"")</f>
        <v/>
      </c>
      <c r="P22" s="34" t="str">
        <f aca="false">IF(ISNUMBER(I22),I22*'Conversion Factors'!$D$18,"")</f>
        <v/>
      </c>
    </row>
    <row r="23" customFormat="false" ht="15" hidden="false" customHeight="false" outlineLevel="0" collapsed="false">
      <c r="A23" s="9" t="s">
        <v>18</v>
      </c>
      <c r="B23" s="9" t="s">
        <v>168</v>
      </c>
      <c r="C23" s="9"/>
      <c r="D23" s="9"/>
      <c r="E23" s="14" t="n">
        <v>0.3</v>
      </c>
      <c r="F23" s="14" t="n">
        <v>0.3</v>
      </c>
      <c r="G23" s="14" t="n">
        <v>0.035</v>
      </c>
      <c r="H23" s="9"/>
      <c r="I23" s="9"/>
      <c r="J23" s="33" t="str">
        <f aca="false">IF(ISNUMBER(C23),C23*'Conversion Factors'!$D$18,"")</f>
        <v/>
      </c>
      <c r="K23" s="33" t="str">
        <f aca="false">IF(ISNUMBER(D23),D23*'Conversion Factors'!$D$18,"")</f>
        <v/>
      </c>
      <c r="L23" s="33" t="n">
        <f aca="false">IF(ISNUMBER(F23),F23*'Conversion Factors'!$D$23,"")</f>
        <v>5.4</v>
      </c>
      <c r="M23" s="33" t="n">
        <f aca="false">IF(ISNUMBER(G23),G23*'Conversion Factors'!$D$21,"")</f>
        <v>5.49806123461862</v>
      </c>
      <c r="N23" s="33" t="n">
        <f aca="false">IF(ISNUMBER(G23),G23*'Conversion Factors'!$D$22,"")</f>
        <v>560.646218088605</v>
      </c>
      <c r="O23" s="33" t="str">
        <f aca="false">IF(ISNUMBER(H23),H23*'Conversion Factors'!$D$18,"")</f>
        <v/>
      </c>
      <c r="P23" s="33" t="str">
        <f aca="false">IF(ISNUMBER(I23),I23*'Conversion Factors'!$D$18,"")</f>
        <v/>
      </c>
    </row>
    <row r="24" customFormat="false" ht="15" hidden="false" customHeight="false" outlineLevel="0" collapsed="false">
      <c r="A24" s="6" t="s">
        <v>20</v>
      </c>
      <c r="B24" s="6" t="s">
        <v>177</v>
      </c>
      <c r="C24" s="17" t="n">
        <v>3156</v>
      </c>
      <c r="D24" s="17" t="n">
        <v>1372</v>
      </c>
      <c r="E24" s="18" t="n">
        <v>0.15</v>
      </c>
      <c r="F24" s="18" t="n">
        <v>0.6</v>
      </c>
      <c r="G24" s="18" t="n">
        <v>0.145</v>
      </c>
      <c r="H24" s="17" t="n">
        <v>3</v>
      </c>
      <c r="I24" s="6"/>
      <c r="J24" s="34" t="n">
        <f aca="false">IF(ISNUMBER(C24),C24*'Conversion Factors'!$D$18,"")</f>
        <v>21759.8540172393</v>
      </c>
      <c r="K24" s="34" t="n">
        <f aca="false">IF(ISNUMBER(D24),D24*'Conversion Factors'!$D$18,"")</f>
        <v>9459.60700622699</v>
      </c>
      <c r="L24" s="34" t="n">
        <f aca="false">IF(ISNUMBER(F24),F24*'Conversion Factors'!$D$23,"")</f>
        <v>10.8</v>
      </c>
      <c r="M24" s="34" t="n">
        <f aca="false">IF(ISNUMBER(G24),G24*'Conversion Factors'!$D$21,"")</f>
        <v>22.7776822577057</v>
      </c>
      <c r="N24" s="34" t="n">
        <f aca="false">IF(ISNUMBER(G24),G24*'Conversion Factors'!$D$22,"")</f>
        <v>2322.67718922422</v>
      </c>
      <c r="O24" s="34" t="n">
        <f aca="false">IF(ISNUMBER(H24),H24*'Conversion Factors'!$D$18,"")</f>
        <v>20.6842718795051</v>
      </c>
      <c r="P24" s="34" t="str">
        <f aca="false">IF(ISNUMBER(I24),I24*'Conversion Factors'!$D$18,"")</f>
        <v/>
      </c>
    </row>
    <row r="25" customFormat="false" ht="15" hidden="false" customHeight="false" outlineLevel="0" collapsed="false">
      <c r="A25" s="9" t="s">
        <v>20</v>
      </c>
      <c r="B25" s="9" t="s">
        <v>178</v>
      </c>
      <c r="C25" s="13" t="n">
        <v>3409</v>
      </c>
      <c r="D25" s="13" t="n">
        <v>1482</v>
      </c>
      <c r="E25" s="14" t="n">
        <v>0.15</v>
      </c>
      <c r="F25" s="14" t="n">
        <v>0.6</v>
      </c>
      <c r="G25" s="14" t="n">
        <v>0.145</v>
      </c>
      <c r="H25" s="14" t="n">
        <v>3.5</v>
      </c>
      <c r="I25" s="9"/>
      <c r="J25" s="33" t="n">
        <f aca="false">IF(ISNUMBER(C25),C25*'Conversion Factors'!$D$18,"")</f>
        <v>23504.2276124109</v>
      </c>
      <c r="K25" s="33" t="n">
        <f aca="false">IF(ISNUMBER(D25),D25*'Conversion Factors'!$D$18,"")</f>
        <v>10218.0303084755</v>
      </c>
      <c r="L25" s="33" t="n">
        <f aca="false">IF(ISNUMBER(F25),F25*'Conversion Factors'!$D$23,"")</f>
        <v>10.8</v>
      </c>
      <c r="M25" s="33" t="n">
        <f aca="false">IF(ISNUMBER(G25),G25*'Conversion Factors'!$D$21,"")</f>
        <v>22.7776822577057</v>
      </c>
      <c r="N25" s="33" t="n">
        <f aca="false">IF(ISNUMBER(G25),G25*'Conversion Factors'!$D$22,"")</f>
        <v>2322.67718922422</v>
      </c>
      <c r="O25" s="33" t="n">
        <f aca="false">IF(ISNUMBER(H25),H25*'Conversion Factors'!$D$18,"")</f>
        <v>24.1316505260893</v>
      </c>
      <c r="P25" s="33" t="str">
        <f aca="false">IF(ISNUMBER(I25),I25*'Conversion Factors'!$D$18,"")</f>
        <v/>
      </c>
    </row>
    <row r="26" customFormat="false" ht="15" hidden="false" customHeight="false" outlineLevel="0" collapsed="false">
      <c r="A26" s="6" t="s">
        <v>20</v>
      </c>
      <c r="B26" s="6" t="s">
        <v>179</v>
      </c>
      <c r="C26" s="17" t="n">
        <v>3644</v>
      </c>
      <c r="D26" s="17" t="n">
        <v>1584</v>
      </c>
      <c r="E26" s="18" t="n">
        <v>0.15</v>
      </c>
      <c r="F26" s="18" t="n">
        <v>0.6</v>
      </c>
      <c r="G26" s="18" t="n">
        <v>0.145</v>
      </c>
      <c r="H26" s="17" t="n">
        <v>4</v>
      </c>
      <c r="I26" s="6"/>
      <c r="J26" s="34" t="n">
        <f aca="false">IF(ISNUMBER(C26),C26*'Conversion Factors'!$D$18,"")</f>
        <v>25124.4955763055</v>
      </c>
      <c r="K26" s="34" t="n">
        <f aca="false">IF(ISNUMBER(D26),D26*'Conversion Factors'!$D$18,"")</f>
        <v>10921.2955523787</v>
      </c>
      <c r="L26" s="34" t="n">
        <f aca="false">IF(ISNUMBER(F26),F26*'Conversion Factors'!$D$23,"")</f>
        <v>10.8</v>
      </c>
      <c r="M26" s="34" t="n">
        <f aca="false">IF(ISNUMBER(G26),G26*'Conversion Factors'!$D$21,"")</f>
        <v>22.7776822577057</v>
      </c>
      <c r="N26" s="34" t="n">
        <f aca="false">IF(ISNUMBER(G26),G26*'Conversion Factors'!$D$22,"")</f>
        <v>2322.67718922422</v>
      </c>
      <c r="O26" s="34" t="n">
        <f aca="false">IF(ISNUMBER(H26),H26*'Conversion Factors'!$D$18,"")</f>
        <v>27.5790291726734</v>
      </c>
      <c r="P26" s="34" t="str">
        <f aca="false">IF(ISNUMBER(I26),I26*'Conversion Factors'!$D$18,"")</f>
        <v/>
      </c>
    </row>
    <row r="27" customFormat="false" ht="15" hidden="false" customHeight="false" outlineLevel="0" collapsed="false">
      <c r="A27" s="9" t="s">
        <v>20</v>
      </c>
      <c r="B27" s="9" t="s">
        <v>180</v>
      </c>
      <c r="C27" s="13" t="n">
        <v>2085</v>
      </c>
      <c r="D27" s="13" t="n">
        <v>907</v>
      </c>
      <c r="E27" s="14" t="n">
        <v>0.15</v>
      </c>
      <c r="F27" s="14" t="n">
        <v>0.6</v>
      </c>
      <c r="G27" s="14" t="n">
        <v>0.11</v>
      </c>
      <c r="H27" s="13" t="n">
        <v>3</v>
      </c>
      <c r="I27" s="9"/>
      <c r="J27" s="33" t="n">
        <f aca="false">IF(ISNUMBER(C27),C27*'Conversion Factors'!$D$18,"")</f>
        <v>14375.568956256</v>
      </c>
      <c r="K27" s="33" t="n">
        <f aca="false">IF(ISNUMBER(D27),D27*'Conversion Factors'!$D$18,"")</f>
        <v>6253.5448649037</v>
      </c>
      <c r="L27" s="33" t="n">
        <f aca="false">IF(ISNUMBER(F27),F27*'Conversion Factors'!$D$23,"")</f>
        <v>10.8</v>
      </c>
      <c r="M27" s="33" t="n">
        <f aca="false">IF(ISNUMBER(G27),G27*'Conversion Factors'!$D$21,"")</f>
        <v>17.2796210230871</v>
      </c>
      <c r="N27" s="33" t="n">
        <f aca="false">IF(ISNUMBER(G27),G27*'Conversion Factors'!$D$22,"")</f>
        <v>1762.03097113562</v>
      </c>
      <c r="O27" s="33" t="n">
        <f aca="false">IF(ISNUMBER(H27),H27*'Conversion Factors'!$D$18,"")</f>
        <v>20.6842718795051</v>
      </c>
      <c r="P27" s="33" t="str">
        <f aca="false">IF(ISNUMBER(I27),I27*'Conversion Factors'!$D$18,"")</f>
        <v/>
      </c>
    </row>
    <row r="28" customFormat="false" ht="15" hidden="false" customHeight="false" outlineLevel="0" collapsed="false">
      <c r="A28" s="6" t="s">
        <v>20</v>
      </c>
      <c r="B28" s="6" t="s">
        <v>181</v>
      </c>
      <c r="C28" s="17" t="n">
        <v>2252</v>
      </c>
      <c r="D28" s="17" t="n">
        <v>979</v>
      </c>
      <c r="E28" s="18" t="n">
        <v>0.15</v>
      </c>
      <c r="F28" s="18" t="n">
        <v>0.6</v>
      </c>
      <c r="G28" s="18" t="n">
        <v>0.11</v>
      </c>
      <c r="H28" s="18" t="n">
        <v>3.5</v>
      </c>
      <c r="I28" s="6"/>
      <c r="J28" s="34" t="n">
        <f aca="false">IF(ISNUMBER(C28),C28*'Conversion Factors'!$D$18,"")</f>
        <v>15526.9934242151</v>
      </c>
      <c r="K28" s="34" t="n">
        <f aca="false">IF(ISNUMBER(D28),D28*'Conversion Factors'!$D$18,"")</f>
        <v>6749.96739001183</v>
      </c>
      <c r="L28" s="34" t="n">
        <f aca="false">IF(ISNUMBER(F28),F28*'Conversion Factors'!$D$23,"")</f>
        <v>10.8</v>
      </c>
      <c r="M28" s="34" t="n">
        <f aca="false">IF(ISNUMBER(G28),G28*'Conversion Factors'!$D$21,"")</f>
        <v>17.2796210230871</v>
      </c>
      <c r="N28" s="34" t="n">
        <f aca="false">IF(ISNUMBER(G28),G28*'Conversion Factors'!$D$22,"")</f>
        <v>1762.03097113562</v>
      </c>
      <c r="O28" s="34" t="n">
        <f aca="false">IF(ISNUMBER(H28),H28*'Conversion Factors'!$D$18,"")</f>
        <v>24.1316505260893</v>
      </c>
      <c r="P28" s="34" t="str">
        <f aca="false">IF(ISNUMBER(I28),I28*'Conversion Factors'!$D$18,"")</f>
        <v/>
      </c>
    </row>
    <row r="29" customFormat="false" ht="15" hidden="false" customHeight="false" outlineLevel="0" collapsed="false">
      <c r="A29" s="9" t="s">
        <v>20</v>
      </c>
      <c r="B29" s="9" t="s">
        <v>182</v>
      </c>
      <c r="C29" s="13" t="n">
        <v>2408</v>
      </c>
      <c r="D29" s="13" t="n">
        <v>1047</v>
      </c>
      <c r="E29" s="14" t="n">
        <v>0.15</v>
      </c>
      <c r="F29" s="14" t="n">
        <v>0.6</v>
      </c>
      <c r="G29" s="14" t="n">
        <v>0.11</v>
      </c>
      <c r="H29" s="13" t="n">
        <v>4</v>
      </c>
      <c r="I29" s="9"/>
      <c r="J29" s="33" t="n">
        <f aca="false">IF(ISNUMBER(C29),C29*'Conversion Factors'!$D$18,"")</f>
        <v>16602.5755619494</v>
      </c>
      <c r="K29" s="33" t="n">
        <f aca="false">IF(ISNUMBER(D29),D29*'Conversion Factors'!$D$18,"")</f>
        <v>7218.81088594727</v>
      </c>
      <c r="L29" s="33" t="n">
        <f aca="false">IF(ISNUMBER(F29),F29*'Conversion Factors'!$D$23,"")</f>
        <v>10.8</v>
      </c>
      <c r="M29" s="33" t="n">
        <f aca="false">IF(ISNUMBER(G29),G29*'Conversion Factors'!$D$21,"")</f>
        <v>17.2796210230871</v>
      </c>
      <c r="N29" s="33" t="n">
        <f aca="false">IF(ISNUMBER(G29),G29*'Conversion Factors'!$D$22,"")</f>
        <v>1762.03097113562</v>
      </c>
      <c r="O29" s="33" t="n">
        <f aca="false">IF(ISNUMBER(H29),H29*'Conversion Factors'!$D$18,"")</f>
        <v>27.5790291726734</v>
      </c>
      <c r="P29" s="33" t="str">
        <f aca="false">IF(ISNUMBER(I29),I29*'Conversion Factors'!$D$18,"")</f>
        <v/>
      </c>
    </row>
    <row r="30" customFormat="false" ht="15" hidden="false" customHeight="false" outlineLevel="0" collapsed="false">
      <c r="A30" s="6" t="s">
        <v>22</v>
      </c>
      <c r="B30" s="6" t="s">
        <v>190</v>
      </c>
      <c r="C30" s="17" t="n">
        <v>1350</v>
      </c>
      <c r="D30" s="17" t="n">
        <v>540</v>
      </c>
      <c r="E30" s="18" t="n">
        <v>0.25</v>
      </c>
      <c r="F30" s="18" t="n">
        <v>0.6</v>
      </c>
      <c r="G30" s="6" t="s">
        <v>165</v>
      </c>
      <c r="H30" s="18" t="n">
        <v>1.5</v>
      </c>
      <c r="I30" s="6"/>
      <c r="J30" s="34" t="n">
        <f aca="false">IF(ISNUMBER(C30),C30*'Conversion Factors'!$D$18,"")</f>
        <v>9307.92234577729</v>
      </c>
      <c r="K30" s="34" t="n">
        <f aca="false">IF(ISNUMBER(D30),D30*'Conversion Factors'!$D$18,"")</f>
        <v>3723.16893831092</v>
      </c>
      <c r="L30" s="34" t="n">
        <f aca="false">IF(ISNUMBER(F30),F30*'Conversion Factors'!$D$23,"")</f>
        <v>10.8</v>
      </c>
      <c r="M30" s="34" t="str">
        <f aca="false">IF(ISNUMBER(G30),G30*'Conversion Factors'!$D$21,"")</f>
        <v/>
      </c>
      <c r="N30" s="34" t="str">
        <f aca="false">IF(ISNUMBER(G30),G30*'Conversion Factors'!$D$22,"")</f>
        <v/>
      </c>
      <c r="O30" s="34" t="n">
        <f aca="false">IF(ISNUMBER(H30),H30*'Conversion Factors'!$D$18,"")</f>
        <v>10.3421359397525</v>
      </c>
      <c r="P30" s="34" t="str">
        <f aca="false">IF(ISNUMBER(I30),I30*'Conversion Factors'!$D$18,"")</f>
        <v/>
      </c>
    </row>
    <row r="31" customFormat="false" ht="15" hidden="false" customHeight="false" outlineLevel="0" collapsed="false">
      <c r="A31" s="9" t="s">
        <v>22</v>
      </c>
      <c r="B31" s="9" t="s">
        <v>191</v>
      </c>
      <c r="C31" s="13" t="n">
        <v>1050</v>
      </c>
      <c r="D31" s="13" t="n">
        <v>420</v>
      </c>
      <c r="E31" s="14" t="n">
        <v>0.25</v>
      </c>
      <c r="F31" s="14" t="n">
        <v>0.6</v>
      </c>
      <c r="G31" s="9" t="s">
        <v>165</v>
      </c>
      <c r="H31" s="14" t="n">
        <v>1.5</v>
      </c>
      <c r="I31" s="9"/>
      <c r="J31" s="33" t="n">
        <f aca="false">IF(ISNUMBER(C31),C31*'Conversion Factors'!$D$18,"")</f>
        <v>7239.49515782678</v>
      </c>
      <c r="K31" s="33" t="n">
        <f aca="false">IF(ISNUMBER(D31),D31*'Conversion Factors'!$D$18,"")</f>
        <v>2895.79806313071</v>
      </c>
      <c r="L31" s="33" t="n">
        <f aca="false">IF(ISNUMBER(F31),F31*'Conversion Factors'!$D$23,"")</f>
        <v>10.8</v>
      </c>
      <c r="M31" s="33" t="str">
        <f aca="false">IF(ISNUMBER(G31),G31*'Conversion Factors'!$D$21,"")</f>
        <v/>
      </c>
      <c r="N31" s="33" t="str">
        <f aca="false">IF(ISNUMBER(G31),G31*'Conversion Factors'!$D$22,"")</f>
        <v/>
      </c>
      <c r="O31" s="33" t="n">
        <f aca="false">IF(ISNUMBER(H31),H31*'Conversion Factors'!$D$18,"")</f>
        <v>10.3421359397525</v>
      </c>
      <c r="P31" s="33" t="str">
        <f aca="false">IF(ISNUMBER(I31),I31*'Conversion Factors'!$D$18,"")</f>
        <v/>
      </c>
    </row>
    <row r="32" customFormat="false" ht="15" hidden="false" customHeight="false" outlineLevel="0" collapsed="false">
      <c r="A32" s="6" t="s">
        <v>24</v>
      </c>
      <c r="B32" s="6" t="s">
        <v>211</v>
      </c>
      <c r="C32" s="17" t="n">
        <v>10100</v>
      </c>
      <c r="D32" s="32" t="n">
        <v>3787.5</v>
      </c>
      <c r="E32" s="18" t="n">
        <v>0.33</v>
      </c>
      <c r="F32" s="18" t="n">
        <v>1.3</v>
      </c>
      <c r="G32" s="18" t="n">
        <v>0.173</v>
      </c>
      <c r="H32" s="17" t="n">
        <v>16</v>
      </c>
      <c r="I32" s="17" t="n">
        <v>19</v>
      </c>
      <c r="J32" s="34" t="n">
        <f aca="false">IF(ISNUMBER(C32),C32*'Conversion Factors'!$D$18,"")</f>
        <v>69637.0486610004</v>
      </c>
      <c r="K32" s="34" t="n">
        <f aca="false">IF(ISNUMBER(D32),D32*'Conversion Factors'!$D$18,"")</f>
        <v>26113.8932478752</v>
      </c>
      <c r="L32" s="34" t="n">
        <f aca="false">IF(ISNUMBER(F32),F32*'Conversion Factors'!$D$23,"")</f>
        <v>23.4</v>
      </c>
      <c r="M32" s="34" t="n">
        <f aca="false">IF(ISNUMBER(G32),G32*'Conversion Factors'!$D$21,"")</f>
        <v>27.1761312454006</v>
      </c>
      <c r="N32" s="34" t="n">
        <f aca="false">IF(ISNUMBER(G32),G32*'Conversion Factors'!$D$22,"")</f>
        <v>2771.19416369511</v>
      </c>
      <c r="O32" s="34" t="n">
        <f aca="false">IF(ISNUMBER(H32),H32*'Conversion Factors'!$D$18,"")</f>
        <v>110.316116690694</v>
      </c>
      <c r="P32" s="34" t="n">
        <f aca="false">IF(ISNUMBER(I32),I32*'Conversion Factors'!$D$18,"")</f>
        <v>131.000388570199</v>
      </c>
    </row>
    <row r="33" customFormat="false" ht="15" hidden="false" customHeight="false" outlineLevel="0" collapsed="false">
      <c r="A33" s="9" t="s">
        <v>24</v>
      </c>
      <c r="B33" s="9" t="s">
        <v>213</v>
      </c>
      <c r="C33" s="13" t="n">
        <v>10100</v>
      </c>
      <c r="D33" s="31" t="n">
        <v>3787.5</v>
      </c>
      <c r="E33" s="14" t="n">
        <v>0.33</v>
      </c>
      <c r="F33" s="14" t="n">
        <v>1.3</v>
      </c>
      <c r="G33" s="14" t="n">
        <v>0.173</v>
      </c>
      <c r="H33" s="13" t="n">
        <v>35</v>
      </c>
      <c r="I33" s="13" t="n">
        <v>38</v>
      </c>
      <c r="J33" s="33" t="n">
        <f aca="false">IF(ISNUMBER(C33),C33*'Conversion Factors'!$D$18,"")</f>
        <v>69637.0486610004</v>
      </c>
      <c r="K33" s="33" t="n">
        <f aca="false">IF(ISNUMBER(D33),D33*'Conversion Factors'!$D$18,"")</f>
        <v>26113.8932478752</v>
      </c>
      <c r="L33" s="33" t="n">
        <f aca="false">IF(ISNUMBER(F33),F33*'Conversion Factors'!$D$23,"")</f>
        <v>23.4</v>
      </c>
      <c r="M33" s="33" t="n">
        <f aca="false">IF(ISNUMBER(G33),G33*'Conversion Factors'!$D$21,"")</f>
        <v>27.1761312454006</v>
      </c>
      <c r="N33" s="33" t="n">
        <f aca="false">IF(ISNUMBER(G33),G33*'Conversion Factors'!$D$22,"")</f>
        <v>2771.19416369511</v>
      </c>
      <c r="O33" s="33" t="n">
        <f aca="false">IF(ISNUMBER(H33),H33*'Conversion Factors'!$D$18,"")</f>
        <v>241.316505260893</v>
      </c>
      <c r="P33" s="33" t="n">
        <f aca="false">IF(ISNUMBER(I33),I33*'Conversion Factors'!$D$18,"")</f>
        <v>262.000777140398</v>
      </c>
    </row>
    <row r="34" customFormat="false" ht="15" hidden="false" customHeight="false" outlineLevel="0" collapsed="false">
      <c r="A34" s="6" t="s">
        <v>24</v>
      </c>
      <c r="B34" s="6" t="s">
        <v>215</v>
      </c>
      <c r="C34" s="17" t="n">
        <v>10100</v>
      </c>
      <c r="D34" s="32" t="n">
        <v>3787.5</v>
      </c>
      <c r="E34" s="18" t="n">
        <v>0.33</v>
      </c>
      <c r="F34" s="18" t="n">
        <v>1.3</v>
      </c>
      <c r="G34" s="18" t="n">
        <v>0.173</v>
      </c>
      <c r="H34" s="17" t="n">
        <v>16</v>
      </c>
      <c r="I34" s="17" t="n">
        <v>22</v>
      </c>
      <c r="J34" s="34" t="n">
        <f aca="false">IF(ISNUMBER(C34),C34*'Conversion Factors'!$D$18,"")</f>
        <v>69637.0486610004</v>
      </c>
      <c r="K34" s="34" t="n">
        <f aca="false">IF(ISNUMBER(D34),D34*'Conversion Factors'!$D$18,"")</f>
        <v>26113.8932478752</v>
      </c>
      <c r="L34" s="34" t="n">
        <f aca="false">IF(ISNUMBER(F34),F34*'Conversion Factors'!$D$23,"")</f>
        <v>23.4</v>
      </c>
      <c r="M34" s="34" t="n">
        <f aca="false">IF(ISNUMBER(G34),G34*'Conversion Factors'!$D$21,"")</f>
        <v>27.1761312454006</v>
      </c>
      <c r="N34" s="34" t="n">
        <f aca="false">IF(ISNUMBER(G34),G34*'Conversion Factors'!$D$22,"")</f>
        <v>2771.19416369511</v>
      </c>
      <c r="O34" s="34" t="n">
        <f aca="false">IF(ISNUMBER(H34),H34*'Conversion Factors'!$D$18,"")</f>
        <v>110.316116690694</v>
      </c>
      <c r="P34" s="34" t="n">
        <f aca="false">IF(ISNUMBER(I34),I34*'Conversion Factors'!$D$18,"")</f>
        <v>151.684660449704</v>
      </c>
    </row>
    <row r="35" customFormat="false" ht="15" hidden="false" customHeight="false" outlineLevel="0" collapsed="false">
      <c r="A35" s="9" t="s">
        <v>24</v>
      </c>
      <c r="B35" s="9" t="s">
        <v>216</v>
      </c>
      <c r="C35" s="13" t="n">
        <v>10100</v>
      </c>
      <c r="D35" s="31" t="n">
        <v>3787.5</v>
      </c>
      <c r="E35" s="14" t="n">
        <v>0.33</v>
      </c>
      <c r="F35" s="14" t="n">
        <v>1.3</v>
      </c>
      <c r="G35" s="14" t="n">
        <v>0.173</v>
      </c>
      <c r="H35" s="13" t="n">
        <v>25</v>
      </c>
      <c r="I35" s="13" t="n">
        <v>30</v>
      </c>
      <c r="J35" s="33" t="n">
        <f aca="false">IF(ISNUMBER(C35),C35*'Conversion Factors'!$D$18,"")</f>
        <v>69637.0486610004</v>
      </c>
      <c r="K35" s="33" t="n">
        <f aca="false">IF(ISNUMBER(D35),D35*'Conversion Factors'!$D$18,"")</f>
        <v>26113.8932478752</v>
      </c>
      <c r="L35" s="33" t="n">
        <f aca="false">IF(ISNUMBER(F35),F35*'Conversion Factors'!$D$23,"")</f>
        <v>23.4</v>
      </c>
      <c r="M35" s="33" t="n">
        <f aca="false">IF(ISNUMBER(G35),G35*'Conversion Factors'!$D$21,"")</f>
        <v>27.1761312454006</v>
      </c>
      <c r="N35" s="33" t="n">
        <f aca="false">IF(ISNUMBER(G35),G35*'Conversion Factors'!$D$22,"")</f>
        <v>2771.19416369511</v>
      </c>
      <c r="O35" s="33" t="n">
        <f aca="false">IF(ISNUMBER(H35),H35*'Conversion Factors'!$D$18,"")</f>
        <v>172.368932329209</v>
      </c>
      <c r="P35" s="33" t="n">
        <f aca="false">IF(ISNUMBER(I35),I35*'Conversion Factors'!$D$18,"")</f>
        <v>206.842718795051</v>
      </c>
    </row>
    <row r="36" customFormat="false" ht="15" hidden="false" customHeight="false" outlineLevel="0" collapsed="false">
      <c r="A36" s="6" t="s">
        <v>24</v>
      </c>
      <c r="B36" s="6" t="s">
        <v>217</v>
      </c>
      <c r="C36" s="17" t="n">
        <v>10200</v>
      </c>
      <c r="D36" s="32" t="n">
        <v>3787.5</v>
      </c>
      <c r="E36" s="18" t="n">
        <v>0.33</v>
      </c>
      <c r="F36" s="18" t="n">
        <v>1.3</v>
      </c>
      <c r="G36" s="18" t="n">
        <v>0.173</v>
      </c>
      <c r="H36" s="17" t="n">
        <v>26</v>
      </c>
      <c r="I36" s="17" t="n">
        <v>34</v>
      </c>
      <c r="J36" s="34" t="n">
        <f aca="false">IF(ISNUMBER(C36),C36*'Conversion Factors'!$D$18,"")</f>
        <v>70326.5243903173</v>
      </c>
      <c r="K36" s="34" t="n">
        <f aca="false">IF(ISNUMBER(D36),D36*'Conversion Factors'!$D$18,"")</f>
        <v>26113.8932478752</v>
      </c>
      <c r="L36" s="34" t="n">
        <f aca="false">IF(ISNUMBER(F36),F36*'Conversion Factors'!$D$23,"")</f>
        <v>23.4</v>
      </c>
      <c r="M36" s="34" t="n">
        <f aca="false">IF(ISNUMBER(G36),G36*'Conversion Factors'!$D$21,"")</f>
        <v>27.1761312454006</v>
      </c>
      <c r="N36" s="34" t="n">
        <f aca="false">IF(ISNUMBER(G36),G36*'Conversion Factors'!$D$22,"")</f>
        <v>2771.19416369511</v>
      </c>
      <c r="O36" s="34" t="n">
        <f aca="false">IF(ISNUMBER(H36),H36*'Conversion Factors'!$D$18,"")</f>
        <v>179.263689622377</v>
      </c>
      <c r="P36" s="34" t="n">
        <f aca="false">IF(ISNUMBER(I36),I36*'Conversion Factors'!$D$18,"")</f>
        <v>234.421747967724</v>
      </c>
    </row>
    <row r="37" customFormat="false" ht="15" hidden="false" customHeight="false" outlineLevel="0" collapsed="false">
      <c r="A37" s="9" t="s">
        <v>24</v>
      </c>
      <c r="B37" s="9" t="s">
        <v>218</v>
      </c>
      <c r="C37" s="13" t="n">
        <v>10100</v>
      </c>
      <c r="D37" s="31" t="n">
        <v>3787.5</v>
      </c>
      <c r="E37" s="14" t="n">
        <v>0.33</v>
      </c>
      <c r="F37" s="14" t="n">
        <v>1.3</v>
      </c>
      <c r="G37" s="14" t="n">
        <v>0.173</v>
      </c>
      <c r="H37" s="13" t="n">
        <v>15</v>
      </c>
      <c r="I37" s="13" t="n">
        <v>24</v>
      </c>
      <c r="J37" s="33" t="n">
        <f aca="false">IF(ISNUMBER(C37),C37*'Conversion Factors'!$D$18,"")</f>
        <v>69637.0486610004</v>
      </c>
      <c r="K37" s="33" t="n">
        <f aca="false">IF(ISNUMBER(D37),D37*'Conversion Factors'!$D$18,"")</f>
        <v>26113.8932478752</v>
      </c>
      <c r="L37" s="33" t="n">
        <f aca="false">IF(ISNUMBER(F37),F37*'Conversion Factors'!$D$23,"")</f>
        <v>23.4</v>
      </c>
      <c r="M37" s="33" t="n">
        <f aca="false">IF(ISNUMBER(G37),G37*'Conversion Factors'!$D$21,"")</f>
        <v>27.1761312454006</v>
      </c>
      <c r="N37" s="33" t="n">
        <f aca="false">IF(ISNUMBER(G37),G37*'Conversion Factors'!$D$22,"")</f>
        <v>2771.19416369511</v>
      </c>
      <c r="O37" s="33" t="n">
        <f aca="false">IF(ISNUMBER(H37),H37*'Conversion Factors'!$D$18,"")</f>
        <v>103.421359397525</v>
      </c>
      <c r="P37" s="33" t="n">
        <f aca="false">IF(ISNUMBER(I37),I37*'Conversion Factors'!$D$18,"")</f>
        <v>165.474175036041</v>
      </c>
    </row>
    <row r="38" customFormat="false" ht="15" hidden="false" customHeight="false" outlineLevel="0" collapsed="false">
      <c r="A38" s="6" t="s">
        <v>26</v>
      </c>
      <c r="B38" s="6" t="s">
        <v>227</v>
      </c>
      <c r="C38" s="17" t="n">
        <v>193100</v>
      </c>
      <c r="D38" s="32" t="n">
        <v>74325.484</v>
      </c>
      <c r="E38" s="18" t="n">
        <v>0.3</v>
      </c>
      <c r="F38" s="18" t="n">
        <v>1.674</v>
      </c>
      <c r="G38" s="18" t="n">
        <v>8.009</v>
      </c>
      <c r="H38" s="32" t="n">
        <v>206.843</v>
      </c>
      <c r="I38" s="32" t="n">
        <v>517.107</v>
      </c>
      <c r="J38" s="34" t="n">
        <f aca="false">IF(ISNUMBER(C38),C38*'Conversion Factors'!$D$18,"")</f>
        <v>1331377.63331081</v>
      </c>
      <c r="K38" s="34" t="n">
        <f aca="false">IF(ISNUMBER(D38),D38*'Conversion Factors'!$D$18,"")</f>
        <v>512456.172877268</v>
      </c>
      <c r="L38" s="34" t="n">
        <f aca="false">IF(ISNUMBER(F38),F38*'Conversion Factors'!$D$23,"")</f>
        <v>30.132</v>
      </c>
      <c r="M38" s="34" t="n">
        <f aca="false">IF(ISNUMBER(G38),G38*'Conversion Factors'!$D$21,"")</f>
        <v>1258.11349794459</v>
      </c>
      <c r="N38" s="34" t="n">
        <f aca="false">IF(ISNUMBER(G38),G38*'Conversion Factors'!$D$22,"")</f>
        <v>128291.873162047</v>
      </c>
      <c r="O38" s="34" t="n">
        <f aca="false">IF(ISNUMBER(H38),H38*'Conversion Factors'!$D$18,"")</f>
        <v>1426.13228279082</v>
      </c>
      <c r="P38" s="34" t="n">
        <f aca="false">IF(ISNUMBER(I38),I38*'Conversion Factors'!$D$18,"")</f>
        <v>3565.32725959841</v>
      </c>
    </row>
    <row r="39" customFormat="false" ht="15" hidden="false" customHeight="false" outlineLevel="0" collapsed="false">
      <c r="A39" s="9" t="s">
        <v>28</v>
      </c>
      <c r="B39" s="9" t="s">
        <v>232</v>
      </c>
      <c r="C39" s="13" t="n">
        <v>3155</v>
      </c>
      <c r="D39" s="13" t="n">
        <v>1372</v>
      </c>
      <c r="E39" s="14" t="n">
        <v>0.15</v>
      </c>
      <c r="F39" s="14" t="n">
        <v>0.6</v>
      </c>
      <c r="G39" s="14" t="n">
        <v>0.145</v>
      </c>
      <c r="H39" s="9"/>
      <c r="I39" s="9"/>
      <c r="J39" s="33" t="n">
        <f aca="false">IF(ISNUMBER(C39),C39*'Conversion Factors'!$D$18,"")</f>
        <v>21752.9592599462</v>
      </c>
      <c r="K39" s="33" t="n">
        <f aca="false">IF(ISNUMBER(D39),D39*'Conversion Factors'!$D$18,"")</f>
        <v>9459.60700622699</v>
      </c>
      <c r="L39" s="33" t="n">
        <f aca="false">IF(ISNUMBER(F39),F39*'Conversion Factors'!$D$23,"")</f>
        <v>10.8</v>
      </c>
      <c r="M39" s="33" t="n">
        <f aca="false">IF(ISNUMBER(G39),G39*'Conversion Factors'!$D$21,"")</f>
        <v>22.7776822577057</v>
      </c>
      <c r="N39" s="33" t="n">
        <f aca="false">IF(ISNUMBER(G39),G39*'Conversion Factors'!$D$22,"")</f>
        <v>2322.67718922422</v>
      </c>
      <c r="O39" s="33" t="str">
        <f aca="false">IF(ISNUMBER(H39),H39*'Conversion Factors'!$D$18,"")</f>
        <v/>
      </c>
      <c r="P39" s="33" t="str">
        <f aca="false">IF(ISNUMBER(I39),I39*'Conversion Factors'!$D$18,"")</f>
        <v/>
      </c>
    </row>
    <row r="40" customFormat="false" ht="15" hidden="false" customHeight="false" outlineLevel="0" collapsed="false">
      <c r="A40" s="6" t="s">
        <v>28</v>
      </c>
      <c r="B40" s="6" t="s">
        <v>234</v>
      </c>
      <c r="C40" s="17" t="n">
        <v>3644</v>
      </c>
      <c r="D40" s="17" t="n">
        <v>1584</v>
      </c>
      <c r="E40" s="18" t="n">
        <v>0.15</v>
      </c>
      <c r="F40" s="18" t="n">
        <v>0.6</v>
      </c>
      <c r="G40" s="18" t="n">
        <v>0.145</v>
      </c>
      <c r="H40" s="6"/>
      <c r="I40" s="6"/>
      <c r="J40" s="34" t="n">
        <f aca="false">IF(ISNUMBER(C40),C40*'Conversion Factors'!$D$18,"")</f>
        <v>25124.4955763055</v>
      </c>
      <c r="K40" s="34" t="n">
        <f aca="false">IF(ISNUMBER(D40),D40*'Conversion Factors'!$D$18,"")</f>
        <v>10921.2955523787</v>
      </c>
      <c r="L40" s="34" t="n">
        <f aca="false">IF(ISNUMBER(F40),F40*'Conversion Factors'!$D$23,"")</f>
        <v>10.8</v>
      </c>
      <c r="M40" s="34" t="n">
        <f aca="false">IF(ISNUMBER(G40),G40*'Conversion Factors'!$D$21,"")</f>
        <v>22.7776822577057</v>
      </c>
      <c r="N40" s="34" t="n">
        <f aca="false">IF(ISNUMBER(G40),G40*'Conversion Factors'!$D$22,"")</f>
        <v>2322.67718922422</v>
      </c>
      <c r="O40" s="34" t="str">
        <f aca="false">IF(ISNUMBER(H40),H40*'Conversion Factors'!$D$18,"")</f>
        <v/>
      </c>
      <c r="P40" s="34" t="str">
        <f aca="false">IF(ISNUMBER(I40),I40*'Conversion Factors'!$D$18,"")</f>
        <v/>
      </c>
    </row>
    <row r="41" customFormat="false" ht="15" hidden="false" customHeight="false" outlineLevel="0" collapsed="false">
      <c r="A41" s="9" t="s">
        <v>28</v>
      </c>
      <c r="B41" s="9" t="s">
        <v>235</v>
      </c>
      <c r="C41" s="13" t="n">
        <v>2085</v>
      </c>
      <c r="D41" s="13" t="n">
        <v>906</v>
      </c>
      <c r="E41" s="14" t="n">
        <v>0.15</v>
      </c>
      <c r="F41" s="14" t="n">
        <v>0.6</v>
      </c>
      <c r="G41" s="14" t="n">
        <v>0.11</v>
      </c>
      <c r="H41" s="9"/>
      <c r="I41" s="9"/>
      <c r="J41" s="33" t="n">
        <f aca="false">IF(ISNUMBER(C41),C41*'Conversion Factors'!$D$18,"")</f>
        <v>14375.568956256</v>
      </c>
      <c r="K41" s="33" t="n">
        <f aca="false">IF(ISNUMBER(D41),D41*'Conversion Factors'!$D$18,"")</f>
        <v>6246.65010761054</v>
      </c>
      <c r="L41" s="33" t="n">
        <f aca="false">IF(ISNUMBER(F41),F41*'Conversion Factors'!$D$23,"")</f>
        <v>10.8</v>
      </c>
      <c r="M41" s="33" t="n">
        <f aca="false">IF(ISNUMBER(G41),G41*'Conversion Factors'!$D$21,"")</f>
        <v>17.2796210230871</v>
      </c>
      <c r="N41" s="33" t="n">
        <f aca="false">IF(ISNUMBER(G41),G41*'Conversion Factors'!$D$22,"")</f>
        <v>1762.03097113562</v>
      </c>
      <c r="O41" s="33" t="str">
        <f aca="false">IF(ISNUMBER(H41),H41*'Conversion Factors'!$D$18,"")</f>
        <v/>
      </c>
      <c r="P41" s="33" t="str">
        <f aca="false">IF(ISNUMBER(I41),I41*'Conversion Factors'!$D$18,"")</f>
        <v/>
      </c>
    </row>
    <row r="42" customFormat="false" ht="15" hidden="false" customHeight="false" outlineLevel="0" collapsed="false">
      <c r="A42" s="6" t="s">
        <v>28</v>
      </c>
      <c r="B42" s="6" t="s">
        <v>236</v>
      </c>
      <c r="C42" s="17" t="n">
        <v>2408</v>
      </c>
      <c r="D42" s="17" t="n">
        <v>1047</v>
      </c>
      <c r="E42" s="18" t="n">
        <v>0.15</v>
      </c>
      <c r="F42" s="18" t="n">
        <v>0.6</v>
      </c>
      <c r="G42" s="18" t="n">
        <v>0.11</v>
      </c>
      <c r="H42" s="6"/>
      <c r="I42" s="6"/>
      <c r="J42" s="34" t="n">
        <f aca="false">IF(ISNUMBER(C42),C42*'Conversion Factors'!$D$18,"")</f>
        <v>16602.5755619494</v>
      </c>
      <c r="K42" s="34" t="n">
        <f aca="false">IF(ISNUMBER(D42),D42*'Conversion Factors'!$D$18,"")</f>
        <v>7218.81088594727</v>
      </c>
      <c r="L42" s="34" t="n">
        <f aca="false">IF(ISNUMBER(F42),F42*'Conversion Factors'!$D$23,"")</f>
        <v>10.8</v>
      </c>
      <c r="M42" s="34" t="n">
        <f aca="false">IF(ISNUMBER(G42),G42*'Conversion Factors'!$D$21,"")</f>
        <v>17.2796210230871</v>
      </c>
      <c r="N42" s="34" t="n">
        <f aca="false">IF(ISNUMBER(G42),G42*'Conversion Factors'!$D$22,"")</f>
        <v>1762.03097113562</v>
      </c>
      <c r="O42" s="34" t="str">
        <f aca="false">IF(ISNUMBER(H42),H42*'Conversion Factors'!$D$18,"")</f>
        <v/>
      </c>
      <c r="P42" s="34" t="str">
        <f aca="false">IF(ISNUMBER(I42),I42*'Conversion Factors'!$D$18,"")</f>
        <v/>
      </c>
    </row>
    <row r="43" customFormat="false" ht="15" hidden="false" customHeight="false" outlineLevel="0" collapsed="false">
      <c r="A43" s="9" t="s">
        <v>28</v>
      </c>
      <c r="B43" s="9" t="s">
        <v>237</v>
      </c>
      <c r="C43" s="13" t="n">
        <v>10600</v>
      </c>
      <c r="D43" s="13" t="n">
        <v>4077</v>
      </c>
      <c r="E43" s="14" t="n">
        <v>0.3</v>
      </c>
      <c r="F43" s="14" t="n">
        <v>1.29</v>
      </c>
      <c r="G43" s="14" t="n">
        <v>0.173</v>
      </c>
      <c r="H43" s="9"/>
      <c r="I43" s="9"/>
      <c r="J43" s="33" t="n">
        <f aca="false">IF(ISNUMBER(C43),C43*'Conversion Factors'!$D$18,"")</f>
        <v>73084.4273075846</v>
      </c>
      <c r="K43" s="33" t="n">
        <f aca="false">IF(ISNUMBER(D43),D43*'Conversion Factors'!$D$18,"")</f>
        <v>28109.9254842474</v>
      </c>
      <c r="L43" s="33" t="n">
        <f aca="false">IF(ISNUMBER(F43),F43*'Conversion Factors'!$D$23,"")</f>
        <v>23.22</v>
      </c>
      <c r="M43" s="33" t="n">
        <f aca="false">IF(ISNUMBER(G43),G43*'Conversion Factors'!$D$21,"")</f>
        <v>27.1761312454006</v>
      </c>
      <c r="N43" s="33" t="n">
        <f aca="false">IF(ISNUMBER(G43),G43*'Conversion Factors'!$D$22,"")</f>
        <v>2771.19416369511</v>
      </c>
      <c r="O43" s="33" t="str">
        <f aca="false">IF(ISNUMBER(H43),H43*'Conversion Factors'!$D$18,"")</f>
        <v/>
      </c>
      <c r="P43" s="33" t="str">
        <f aca="false">IF(ISNUMBER(I43),I43*'Conversion Factors'!$D$18,"")</f>
        <v/>
      </c>
    </row>
    <row r="44" customFormat="false" ht="15" hidden="false" customHeight="false" outlineLevel="0" collapsed="false">
      <c r="A44" s="6" t="s">
        <v>28</v>
      </c>
      <c r="B44" s="6" t="s">
        <v>238</v>
      </c>
      <c r="C44" s="17" t="n">
        <v>29000</v>
      </c>
      <c r="D44" s="17" t="n">
        <v>11154</v>
      </c>
      <c r="E44" s="18" t="n">
        <v>0.3</v>
      </c>
      <c r="F44" s="18" t="n">
        <v>0.65</v>
      </c>
      <c r="G44" s="18" t="n">
        <v>0.49</v>
      </c>
      <c r="H44" s="6"/>
      <c r="I44" s="6"/>
      <c r="J44" s="34" t="n">
        <f aca="false">IF(ISNUMBER(C44),C44*'Conversion Factors'!$D$18,"")</f>
        <v>199947.961501882</v>
      </c>
      <c r="K44" s="34" t="n">
        <f aca="false">IF(ISNUMBER(D44),D44*'Conversion Factors'!$D$18,"")</f>
        <v>76904.1228479999</v>
      </c>
      <c r="L44" s="34" t="n">
        <f aca="false">IF(ISNUMBER(F44),F44*'Conversion Factors'!$D$23,"")</f>
        <v>11.7</v>
      </c>
      <c r="M44" s="34" t="n">
        <f aca="false">IF(ISNUMBER(G44),G44*'Conversion Factors'!$D$21,"")</f>
        <v>76.9728572846607</v>
      </c>
      <c r="N44" s="34" t="n">
        <f aca="false">IF(ISNUMBER(G44),G44*'Conversion Factors'!$D$22,"")</f>
        <v>7849.04705324047</v>
      </c>
      <c r="O44" s="34" t="str">
        <f aca="false">IF(ISNUMBER(H44),H44*'Conversion Factors'!$D$18,"")</f>
        <v/>
      </c>
      <c r="P44" s="34" t="str">
        <f aca="false">IF(ISNUMBER(I44),I44*'Conversion Factors'!$D$18,"")</f>
        <v/>
      </c>
    </row>
    <row r="45" customFormat="false" ht="15" hidden="false" customHeight="false" outlineLevel="0" collapsed="false">
      <c r="A45" s="9" t="s">
        <v>28</v>
      </c>
      <c r="B45" s="9" t="s">
        <v>239</v>
      </c>
      <c r="C45" s="13" t="n">
        <v>1000000</v>
      </c>
      <c r="D45" s="9"/>
      <c r="E45" s="14" t="n">
        <v>0.3</v>
      </c>
      <c r="F45" s="13" t="n">
        <v>0</v>
      </c>
      <c r="G45" s="13" t="n">
        <v>0</v>
      </c>
      <c r="H45" s="9"/>
      <c r="I45" s="9"/>
      <c r="J45" s="33" t="n">
        <f aca="false">IF(ISNUMBER(C45),C45*'Conversion Factors'!$D$18,"")</f>
        <v>6894757.29316836</v>
      </c>
      <c r="K45" s="33" t="str">
        <f aca="false">IF(ISNUMBER(D45),D45*'Conversion Factors'!$D$18,"")</f>
        <v/>
      </c>
      <c r="L45" s="33" t="n">
        <f aca="false">IF(ISNUMBER(F45),F45*'Conversion Factors'!$D$23,"")</f>
        <v>0</v>
      </c>
      <c r="M45" s="33" t="n">
        <f aca="false">IF(ISNUMBER(G45),G45*'Conversion Factors'!$D$21,"")</f>
        <v>0</v>
      </c>
      <c r="N45" s="33" t="n">
        <f aca="false">IF(ISNUMBER(G45),G45*'Conversion Factors'!$D$22,"")</f>
        <v>0</v>
      </c>
      <c r="O45" s="33" t="str">
        <f aca="false">IF(ISNUMBER(H45),H45*'Conversion Factors'!$D$18,"")</f>
        <v/>
      </c>
      <c r="P45" s="33" t="str">
        <f aca="false">IF(ISNUMBER(I45),I45*'Conversion Factors'!$D$18,"")</f>
        <v/>
      </c>
    </row>
    <row r="47" customFormat="false" ht="15" hidden="false" customHeight="false" outlineLevel="0" collapsed="false">
      <c r="A47" s="3" t="s">
        <v>246</v>
      </c>
      <c r="B47" s="2" t="n">
        <f aca="false">COUNTA(B5:B45)</f>
        <v>41</v>
      </c>
    </row>
    <row r="48" customFormat="false" ht="15" hidden="false" customHeight="false" outlineLevel="0" collapsed="false">
      <c r="A48" s="12" t="s">
        <v>247</v>
      </c>
    </row>
  </sheetData>
  <autoFilter ref="A4:P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248</v>
      </c>
    </row>
    <row r="3" customFormat="false" ht="30" hidden="false" customHeight="true" outlineLevel="0" collapsed="false">
      <c r="A3" s="5" t="s">
        <v>249</v>
      </c>
      <c r="B3" s="5" t="s">
        <v>250</v>
      </c>
    </row>
    <row r="4" customFormat="false" ht="15" hidden="false" customHeight="false" outlineLevel="0" collapsed="false">
      <c r="A4" s="35" t="s">
        <v>98</v>
      </c>
      <c r="B4" s="35" t="s">
        <v>251</v>
      </c>
    </row>
    <row r="5" customFormat="false" ht="15" hidden="false" customHeight="false" outlineLevel="0" collapsed="false">
      <c r="A5" s="36" t="s">
        <v>99</v>
      </c>
      <c r="B5" s="36" t="s">
        <v>252</v>
      </c>
    </row>
    <row r="6" customFormat="false" ht="15" hidden="false" customHeight="false" outlineLevel="0" collapsed="false">
      <c r="A6" s="35" t="s">
        <v>100</v>
      </c>
      <c r="B6" s="35" t="s">
        <v>253</v>
      </c>
    </row>
    <row r="7" customFormat="false" ht="15" hidden="false" customHeight="false" outlineLevel="0" collapsed="false">
      <c r="A7" s="36" t="s">
        <v>101</v>
      </c>
      <c r="B7" s="36" t="s">
        <v>254</v>
      </c>
    </row>
    <row r="8" customFormat="false" ht="15" hidden="false" customHeight="false" outlineLevel="0" collapsed="false">
      <c r="A8" s="35" t="s">
        <v>102</v>
      </c>
      <c r="B8" s="35" t="s">
        <v>255</v>
      </c>
    </row>
    <row r="9" customFormat="false" ht="15" hidden="false" customHeight="false" outlineLevel="0" collapsed="false">
      <c r="A9" s="36" t="s">
        <v>103</v>
      </c>
      <c r="B9" s="36" t="s">
        <v>256</v>
      </c>
    </row>
    <row r="10" customFormat="false" ht="15" hidden="false" customHeight="false" outlineLevel="0" collapsed="false">
      <c r="A10" s="35" t="s">
        <v>257</v>
      </c>
      <c r="B10" s="35" t="s">
        <v>258</v>
      </c>
    </row>
    <row r="11" customFormat="false" ht="15" hidden="false" customHeight="false" outlineLevel="0" collapsed="false">
      <c r="A11" s="36" t="s">
        <v>106</v>
      </c>
      <c r="B11" s="36" t="s">
        <v>259</v>
      </c>
    </row>
    <row r="12" customFormat="false" ht="15" hidden="false" customHeight="false" outlineLevel="0" collapsed="false">
      <c r="A12" s="35" t="s">
        <v>260</v>
      </c>
      <c r="B12" s="35" t="s">
        <v>261</v>
      </c>
    </row>
    <row r="13" customFormat="false" ht="15" hidden="false" customHeight="false" outlineLevel="0" collapsed="false">
      <c r="A13" s="36" t="s">
        <v>173</v>
      </c>
      <c r="B13" s="36" t="s">
        <v>262</v>
      </c>
    </row>
    <row r="14" customFormat="false" ht="15" hidden="false" customHeight="false" outlineLevel="0" collapsed="false">
      <c r="A14" s="35" t="s">
        <v>174</v>
      </c>
      <c r="B14" s="35" t="s">
        <v>263</v>
      </c>
    </row>
    <row r="15" customFormat="false" ht="15" hidden="false" customHeight="false" outlineLevel="0" collapsed="false">
      <c r="A15" s="36" t="s">
        <v>264</v>
      </c>
      <c r="B15" s="36" t="s">
        <v>265</v>
      </c>
    </row>
    <row r="16" customFormat="false" ht="15" hidden="false" customHeight="false" outlineLevel="0" collapsed="false">
      <c r="A16" s="35" t="s">
        <v>189</v>
      </c>
      <c r="B16" s="35" t="s">
        <v>266</v>
      </c>
    </row>
    <row r="17" customFormat="false" ht="15" hidden="false" customHeight="false" outlineLevel="0" collapsed="false">
      <c r="A17" s="36" t="s">
        <v>267</v>
      </c>
      <c r="B17" s="36" t="s">
        <v>268</v>
      </c>
    </row>
    <row r="18" customFormat="false" ht="15" hidden="false" customHeight="false" outlineLevel="0" collapsed="false">
      <c r="A18" s="35" t="s">
        <v>269</v>
      </c>
      <c r="B18" s="35" t="s">
        <v>270</v>
      </c>
    </row>
    <row r="19" customFormat="false" ht="15" hidden="false" customHeight="false" outlineLevel="0" collapsed="false">
      <c r="A19" s="36" t="s">
        <v>271</v>
      </c>
      <c r="B19" s="36" t="s">
        <v>272</v>
      </c>
    </row>
    <row r="20" customFormat="false" ht="15" hidden="false" customHeight="false" outlineLevel="0" collapsed="false">
      <c r="A20" s="35" t="s">
        <v>273</v>
      </c>
      <c r="B20" s="35" t="s">
        <v>274</v>
      </c>
    </row>
    <row r="21" customFormat="false" ht="15" hidden="false" customHeight="false" outlineLevel="0" collapsed="false">
      <c r="A21" s="36" t="s">
        <v>275</v>
      </c>
      <c r="B21" s="36" t="s">
        <v>276</v>
      </c>
    </row>
    <row r="22" customFormat="false" ht="15" hidden="false" customHeight="false" outlineLevel="0" collapsed="false">
      <c r="A22" s="35" t="s">
        <v>277</v>
      </c>
      <c r="B22" s="35" t="s">
        <v>278</v>
      </c>
    </row>
    <row r="23" customFormat="false" ht="15" hidden="false" customHeight="false" outlineLevel="0" collapsed="false">
      <c r="A23" s="36" t="s">
        <v>279</v>
      </c>
      <c r="B23" s="36" t="s">
        <v>280</v>
      </c>
    </row>
    <row r="24" customFormat="false" ht="15" hidden="false" customHeight="false" outlineLevel="0" collapsed="false">
      <c r="A24" s="35" t="s">
        <v>231</v>
      </c>
      <c r="B24" s="35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2026-09-08T01:58:37Z</dcterms:created>
  <dc:creator>openpyxl</dc:creator>
  <dc:description/>
  <dc:language>en-US</dc:language>
  <cp:lastModifiedBy/>
  <dcterms:modified xsi:type="dcterms:W3CDTF">2026-09-08T01:58:37Z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