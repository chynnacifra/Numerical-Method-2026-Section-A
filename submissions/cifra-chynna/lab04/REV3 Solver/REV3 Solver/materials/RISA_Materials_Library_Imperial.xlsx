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Hot Rolled" sheetId="2" state="visible" r:id="rId4"/>
    <sheet name="Cold Formed" sheetId="3" state="visible" r:id="rId5"/>
    <sheet name="Wood" sheetId="4" state="visible" r:id="rId6"/>
    <sheet name="Concrete" sheetId="5" state="visible" r:id="rId7"/>
    <sheet name="Masonry" sheetId="6" state="visible" r:id="rId8"/>
    <sheet name="Aluminum" sheetId="7" state="visible" r:id="rId9"/>
    <sheet name="Stainless" sheetId="8" state="visible" r:id="rId10"/>
    <sheet name="General" sheetId="9" state="visible" r:id="rId11"/>
    <sheet name="All Materials" sheetId="10" state="visible" r:id="rId12"/>
    <sheet name="Glossary" sheetId="11" state="visible" r:id="rId13"/>
  </sheets>
  <definedNames>
    <definedName function="false" hidden="true" localSheetId="9" name="_xlnm._FilterDatabase" vbProcedure="false">'All Materials'!$A$4:$I$45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<sst xmlns="http://schemas.openxmlformats.org/spreadsheetml/2006/main" count="421" uniqueCount="199">
  <si>
    <t xml:space="preserve">RISA-3D Material Library in Imperial units, for Python Solver Rev.2</t>
  </si>
  <si>
    <t xml:space="preserve">Source: nine screenshots in the Materials folder (RISA-3D Materials spreadsheet, one sheet per tab, plus the Masonry Self Weight dialog).</t>
  </si>
  <si>
    <t xml:space="preserve">Units as shown in RISA: E and strengths in ksi, density in kips per cubic foot, thermal coefficient in 1e-5 per °F.</t>
  </si>
  <si>
    <t xml:space="preserve">Blue numbers are inputs. Black cells in the shaded 'Solver check' columns are live formulas and recalculate if an input is edited.</t>
  </si>
  <si>
    <t xml:space="preserve">The 'All Materials' sheet is a flat, solver-ready table: one row per material.</t>
  </si>
  <si>
    <t xml:space="preserve">Notes on the source screenshots:</t>
  </si>
  <si>
    <t xml:space="preserve">  Wood rows 7 to 12: labels are truncated on screen; the full label was reconstructed from the Species column.</t>
  </si>
  <si>
    <t xml:space="preserve">  Aluminum row 6: label reads '6061-T6...' on screen; strengths (Ftu 24, Fty 15 ksi) match welded 6061-T6, so it is labelled '6061-T6 (welded)'.</t>
  </si>
  <si>
    <t xml:space="preserve">  Stainless SS1: the numbers sit under ksi headers but have SI magnitudes (193,100 MPa, 206.843 MPa = 30 ksi, 517.107 MPa = 75 ksi). Recorded as displayed; check the RISA unit setting before using this row.</t>
  </si>
  <si>
    <t xml:space="preserve">  General RIGID: G is blank in RISA; E is 1e+6 ksi.</t>
  </si>
  <si>
    <t xml:space="preserve">  Companion file: RISA_Materials_Library_Metric.xlsx holds the same library in Standard Metric units.</t>
  </si>
  <si>
    <t xml:space="preserve">Sheet index</t>
  </si>
  <si>
    <t xml:space="preserve">Hot Rolled</t>
  </si>
  <si>
    <t xml:space="preserve">Hot rolled steel: A36, A572, A992, A500</t>
  </si>
  <si>
    <t xml:space="preserve">Cold Formed</t>
  </si>
  <si>
    <t xml:space="preserve">Cold formed steel: A570, A607</t>
  </si>
  <si>
    <t xml:space="preserve">Wood</t>
  </si>
  <si>
    <t xml:space="preserve">Solid sawn, glulam and LVL species keys</t>
  </si>
  <si>
    <t xml:space="preserve">Concrete</t>
  </si>
  <si>
    <t xml:space="preserve">Normal and lightweight, 3 to 4 ksi (20.7 to 27.6 MPa)</t>
  </si>
  <si>
    <t xml:space="preserve">Masonry</t>
  </si>
  <si>
    <t xml:space="preserve">Concrete and clay masonry plus self-weight settings</t>
  </si>
  <si>
    <t xml:space="preserve">Aluminum</t>
  </si>
  <si>
    <t xml:space="preserve">3003, 5052, 6061, 6063 alloys</t>
  </si>
  <si>
    <t xml:space="preserve">Stainless</t>
  </si>
  <si>
    <t xml:space="preserve">SS1 with Ramberg-Osgood n</t>
  </si>
  <si>
    <t xml:space="preserve">General</t>
  </si>
  <si>
    <t xml:space="preserve">Generic isotropic materials and RIGID</t>
  </si>
  <si>
    <t xml:space="preserve">All Materials</t>
  </si>
  <si>
    <t xml:space="preserve">Flat solver-ready table</t>
  </si>
  <si>
    <t xml:space="preserve">Glossary</t>
  </si>
  <si>
    <t xml:space="preserve">What every column means and how the solver uses it</t>
  </si>
  <si>
    <t xml:space="preserve">Hot Rolled Materials (RISA-3D), Imperial units</t>
  </si>
  <si>
    <t xml:space="preserve">Source screenshot: Materials-SS-Hot-Rolled-TAB.png. Blue = input. Shaded = live formula check.</t>
  </si>
  <si>
    <t xml:space="preserve">Label</t>
  </si>
  <si>
    <t xml:space="preserve">E [ksi]</t>
  </si>
  <si>
    <t xml:space="preserve">G [ksi]</t>
  </si>
  <si>
    <t xml:space="preserve">Nu</t>
  </si>
  <si>
    <t xml:space="preserve">Therm. Coeff. [1e-5/°F]</t>
  </si>
  <si>
    <t xml:space="preserve">Density [k/ft³]</t>
  </si>
  <si>
    <t xml:space="preserve">Yield [ksi]</t>
  </si>
  <si>
    <t xml:space="preserve">Ry</t>
  </si>
  <si>
    <t xml:space="preserve">Fu [ksi]</t>
  </si>
  <si>
    <t xml:space="preserve">Rt</t>
  </si>
  <si>
    <t xml:space="preserve">Solver check: G = E/(2(1+Nu)) [ksi]</t>
  </si>
  <si>
    <t xml:space="preserve">Diff vs table G</t>
  </si>
  <si>
    <t xml:space="preserve">A36 Gr.36</t>
  </si>
  <si>
    <t xml:space="preserve">A572 Gr.50</t>
  </si>
  <si>
    <t xml:space="preserve">A992</t>
  </si>
  <si>
    <t xml:space="preserve">A500 Gr.42</t>
  </si>
  <si>
    <t xml:space="preserve">A500 Gr.46</t>
  </si>
  <si>
    <t xml:space="preserve">Cold Formed Materials (RISA-3D), Imperial units</t>
  </si>
  <si>
    <t xml:space="preserve">Source screenshot: Materials-SS-Cold-Formed-TAB.png. Blue = input. Shaded = live formula check.</t>
  </si>
  <si>
    <t xml:space="preserve">A570_33</t>
  </si>
  <si>
    <t xml:space="preserve">A607_C1_55</t>
  </si>
  <si>
    <t xml:space="preserve">Wood Materials (RISA-3D), Imperial units</t>
  </si>
  <si>
    <t xml:space="preserve">Source screenshot: Materials-SS-Wood-TAB.png. Blue = input. Shaded = live formula check.</t>
  </si>
  <si>
    <t xml:space="preserve">Type</t>
  </si>
  <si>
    <t xml:space="preserve">Database</t>
  </si>
  <si>
    <t xml:space="preserve">Species</t>
  </si>
  <si>
    <t xml:space="preserve">Grade</t>
  </si>
  <si>
    <t xml:space="preserve">Cm</t>
  </si>
  <si>
    <t xml:space="preserve">Ci</t>
  </si>
  <si>
    <t xml:space="preserve">Emod</t>
  </si>
  <si>
    <t xml:space="preserve">DF/SPine</t>
  </si>
  <si>
    <t xml:space="preserve">Solid Sawn</t>
  </si>
  <si>
    <t xml:space="preserve">Visually Graded</t>
  </si>
  <si>
    <t xml:space="preserve">Com Species Group I DF,SP</t>
  </si>
  <si>
    <t xml:space="preserve">No.1</t>
  </si>
  <si>
    <t xml:space="preserve">No</t>
  </si>
  <si>
    <t xml:space="preserve">HF/Spruce Fir</t>
  </si>
  <si>
    <t xml:space="preserve">Com Species Group II HF,SPF</t>
  </si>
  <si>
    <t xml:space="preserve">DF</t>
  </si>
  <si>
    <t xml:space="preserve">Douglas Fir-Larch</t>
  </si>
  <si>
    <t xml:space="preserve">SP</t>
  </si>
  <si>
    <t xml:space="preserve">Southern Pine</t>
  </si>
  <si>
    <t xml:space="preserve">HF</t>
  </si>
  <si>
    <t xml:space="preserve">Hem-Fir</t>
  </si>
  <si>
    <t xml:space="preserve">SPF</t>
  </si>
  <si>
    <t xml:space="preserve">Spruce-Pine-fir</t>
  </si>
  <si>
    <t xml:space="preserve">24F-1.8E DF_BAL</t>
  </si>
  <si>
    <t xml:space="preserve">Glulam</t>
  </si>
  <si>
    <t xml:space="preserve">NDS Table 5A</t>
  </si>
  <si>
    <t xml:space="preserve">24F-1.8E_DF_BAL</t>
  </si>
  <si>
    <t xml:space="preserve">na</t>
  </si>
  <si>
    <t xml:space="preserve">24F-1.8E DF_UNBAL</t>
  </si>
  <si>
    <t xml:space="preserve">24F-1.8E_DF_UNBAL</t>
  </si>
  <si>
    <t xml:space="preserve">24F-1.8E SP_BAL</t>
  </si>
  <si>
    <t xml:space="preserve">24F-1.8E_SP_BAL</t>
  </si>
  <si>
    <t xml:space="preserve">24F-1.8E SP_UNBAL</t>
  </si>
  <si>
    <t xml:space="preserve">24F-1.8E_SP_UNBAL</t>
  </si>
  <si>
    <t xml:space="preserve">LVL-PRL 1.5E_2250F</t>
  </si>
  <si>
    <t xml:space="preserve">Custom</t>
  </si>
  <si>
    <t xml:space="preserve">N/A</t>
  </si>
  <si>
    <t xml:space="preserve">LVL_PRL_1.5E_2250F</t>
  </si>
  <si>
    <t xml:space="preserve">LVL-PRL 2.0E_2900F</t>
  </si>
  <si>
    <t xml:space="preserve">LVL_PRL_2.0E_2900F</t>
  </si>
  <si>
    <t xml:space="preserve">Cm and Ci checkboxes are all unchecked in the source. Labels in rows 7 to 12 reconstructed from the Species column (truncated on screen).</t>
  </si>
  <si>
    <t xml:space="preserve">Concrete Materials (RISA-3D), Imperial units</t>
  </si>
  <si>
    <t xml:space="preserve">Source screenshot: Materials-SS-Concrete-TAB.png. Blue = input. Shaded = live formula check.</t>
  </si>
  <si>
    <t xml:space="preserve">f'c [ksi]</t>
  </si>
  <si>
    <t xml:space="preserve">Lambda</t>
  </si>
  <si>
    <t xml:space="preserve">Flex Steel [ksi]</t>
  </si>
  <si>
    <t xml:space="preserve">Shear Steel [ksi]</t>
  </si>
  <si>
    <t xml:space="preserve">Conc3000NW</t>
  </si>
  <si>
    <t xml:space="preserve">Conc3500NW</t>
  </si>
  <si>
    <t xml:space="preserve">Conc4000NW</t>
  </si>
  <si>
    <t xml:space="preserve">Conc3000LW</t>
  </si>
  <si>
    <t xml:space="preserve">Conc3500LW</t>
  </si>
  <si>
    <t xml:space="preserve">Conc4000LW</t>
  </si>
  <si>
    <t xml:space="preserve">Masonry Materials (RISA-3D), Imperial units</t>
  </si>
  <si>
    <t xml:space="preserve">Source screenshot: Materials-SS-Masonry-TAB.png. Blue = input. Shaded = live formula check.</t>
  </si>
  <si>
    <t xml:space="preserve">Self Weight [k/ft³]</t>
  </si>
  <si>
    <t xml:space="preserve">f'm [ksi]</t>
  </si>
  <si>
    <t xml:space="preserve">Concrete Matl</t>
  </si>
  <si>
    <t xml:space="preserve">Clay Matl</t>
  </si>
  <si>
    <t xml:space="preserve">Masonry Self Weight dialog (Masonry-Self-Weight-WND.png)</t>
  </si>
  <si>
    <t xml:space="preserve">Selected method</t>
  </si>
  <si>
    <t xml:space="preserve">Using Block and Grout Properties</t>
  </si>
  <si>
    <t xml:space="preserve">Block Material</t>
  </si>
  <si>
    <t xml:space="preserve">Conc 115 pcf</t>
  </si>
  <si>
    <t xml:space="preserve">Grout Weight</t>
  </si>
  <si>
    <t xml:space="preserve">140 pcf</t>
  </si>
  <si>
    <t xml:space="preserve">Uniform Density alternative (not selected) [k/ft³]</t>
  </si>
  <si>
    <t xml:space="preserve">Aluminum Materials (RISA-3D), Imperial units</t>
  </si>
  <si>
    <t xml:space="preserve">Source screenshot: Materials-SS-Aluminum-TAB.png. Blue = input. Shaded = live formula check.</t>
  </si>
  <si>
    <t xml:space="preserve">Table B.4</t>
  </si>
  <si>
    <t xml:space="preserve">kt</t>
  </si>
  <si>
    <t xml:space="preserve">Ftu [ksi]</t>
  </si>
  <si>
    <t xml:space="preserve">Fty [ksi]</t>
  </si>
  <si>
    <t xml:space="preserve">Fcy [ksi]</t>
  </si>
  <si>
    <t xml:space="preserve">Fsu [ksi]</t>
  </si>
  <si>
    <t xml:space="preserve">Ct</t>
  </si>
  <si>
    <t xml:space="preserve">3003-H14</t>
  </si>
  <si>
    <t xml:space="preserve">Table B.4-1</t>
  </si>
  <si>
    <t xml:space="preserve">6061-T6</t>
  </si>
  <si>
    <t xml:space="preserve">Table B.4-2</t>
  </si>
  <si>
    <t xml:space="preserve">6063-T5</t>
  </si>
  <si>
    <t xml:space="preserve">6063-T6</t>
  </si>
  <si>
    <t xml:space="preserve">5052-H34</t>
  </si>
  <si>
    <t xml:space="preserve">6061-T6 (welded)</t>
  </si>
  <si>
    <t xml:space="preserve">Row 6 label truncated on screen ('6061-T6...'); strengths match welded 6061-T6.</t>
  </si>
  <si>
    <t xml:space="preserve">Stainless Materials (RISA-3D), Imperial units</t>
  </si>
  <si>
    <t xml:space="preserve">Source screenshot: Materials-SS-Stainless-TAB.png. Blue = input. Shaded = live formula check.</t>
  </si>
  <si>
    <t xml:space="preserve">n</t>
  </si>
  <si>
    <t xml:space="preserve">SS1</t>
  </si>
  <si>
    <t xml:space="preserve">Values as displayed. Magnitudes are SI (MPa) under ksi headers: 206.843 MPa = 30 ksi, 517.107 MPa = 75 ksi, 193,100 MPa = 28,000 ksi. Verify RISA unit setting before use.</t>
  </si>
  <si>
    <t xml:space="preserve">General Materials (RISA-3D), Imperial units</t>
  </si>
  <si>
    <t xml:space="preserve">Source screenshot: Materials-SS-General-TAB.png. Blue = input. Shaded = live formula check.</t>
  </si>
  <si>
    <t xml:space="preserve">Plate Methodology</t>
  </si>
  <si>
    <t xml:space="preserve">gen_Conc3NW</t>
  </si>
  <si>
    <t xml:space="preserve">Isotropic</t>
  </si>
  <si>
    <t xml:space="preserve">gen_Conc4NW</t>
  </si>
  <si>
    <t xml:space="preserve">gen_Conc3LW</t>
  </si>
  <si>
    <t xml:space="preserve">gen_Conc4LW</t>
  </si>
  <si>
    <t xml:space="preserve">gen_Alum</t>
  </si>
  <si>
    <t xml:space="preserve">gen_Steel</t>
  </si>
  <si>
    <t xml:space="preserve">RIGID</t>
  </si>
  <si>
    <t xml:space="preserve">RIGID: G left blank in RISA; use for stiff links only. E shown as 1e+6 ksi.</t>
  </si>
  <si>
    <t xml:space="preserve">All Materials, flat table for the solver (Imperial)</t>
  </si>
  <si>
    <t xml:space="preserve">Blue = input. Strength column holds Yield for steels, f'c for concrete, f'm for masonry, Fty for aluminum.</t>
  </si>
  <si>
    <t xml:space="preserve">Category</t>
  </si>
  <si>
    <t xml:space="preserve">Yield / f'c / f'm [ksi]</t>
  </si>
  <si>
    <t xml:space="preserve">Count of materials</t>
  </si>
  <si>
    <t xml:space="preserve">Stainless SS1 row: see the Stainless sheet note before using it.</t>
  </si>
  <si>
    <t xml:space="preserve">Column glossary: what each property means and how the solver uses it</t>
  </si>
  <si>
    <t xml:space="preserve">Column</t>
  </si>
  <si>
    <t xml:space="preserve">Meaning and use in the solver</t>
  </si>
  <si>
    <t xml:space="preserve">Material name the solver looks up when a member or plate references a material.</t>
  </si>
  <si>
    <t xml:space="preserve">Modulus of elasticity. Drives axial (EA) and flexural (EI) stiffness terms in the element stiffness matrix.</t>
  </si>
  <si>
    <t xml:space="preserve">Shear modulus. Drives torsional stiffness (GJ) and shear deformation. For isotropic materials G = E / (2(1+Nu)).</t>
  </si>
  <si>
    <t xml:space="preserve">Poisson's ratio. Ties G to E; also used in plate/shell stiffness.</t>
  </si>
  <si>
    <t xml:space="preserve">Coefficient of thermal expansion, in units of 1e-5 per °F. Multiply by 1e-5 before use: steel 0.65 means 6.5e-6 /°F.</t>
  </si>
  <si>
    <t xml:space="preserve">Unit weight in kips per cubic foot. Self-weight load = Density x cross-section area x length.</t>
  </si>
  <si>
    <t xml:space="preserve">Yield [ksi] / Fy</t>
  </si>
  <si>
    <t xml:space="preserve">Yield strength used by steel design checks (AISC, AISI).</t>
  </si>
  <si>
    <t xml:space="preserve">Ultimate tensile strength, used for rupture and connection checks.</t>
  </si>
  <si>
    <t xml:space="preserve">Ry, Rt</t>
  </si>
  <si>
    <t xml:space="preserve">Expected-strength factors (AISC 341): Ry x Fy = expected yield, Rt x Fu = expected tensile strength, for seismic capacity design.</t>
  </si>
  <si>
    <t xml:space="preserve">Specified compressive strength of concrete. E is derived from it: E = 57,000 x sqrt(f'c psi) for normal weight.</t>
  </si>
  <si>
    <t xml:space="preserve">Lightweight concrete modification factor (ACI 318): 1.0 normal weight, 0.75 all-lightweight.</t>
  </si>
  <si>
    <t xml:space="preserve">Flex Steel / Shear Steel [ksi]</t>
  </si>
  <si>
    <t xml:space="preserve">Yield strength of flexural and shear reinforcement used in concrete and masonry design.</t>
  </si>
  <si>
    <t xml:space="preserve">Specified compressive strength of masonry assembly; E = 900 f'm for concrete masonry and 700 f'm for clay masonry (TMS 402).</t>
  </si>
  <si>
    <t xml:space="preserve">Self Weight (masonry)</t>
  </si>
  <si>
    <t xml:space="preserve">Set to Custom: RISA computes wall weight from block material and grout weight rather than a single density.</t>
  </si>
  <si>
    <t xml:space="preserve">Type / Database / Species / Grade (wood)</t>
  </si>
  <si>
    <t xml:space="preserve">Keys into the NDS supplement tables. Design values (Fb, Fv, E) come from the table, not from this row.</t>
  </si>
  <si>
    <t xml:space="preserve">Cm, Ci (wood)</t>
  </si>
  <si>
    <t xml:space="preserve">Wet-service and incising adjustment factors, applied when checked.</t>
  </si>
  <si>
    <t xml:space="preserve">Emod (wood)</t>
  </si>
  <si>
    <t xml:space="preserve">Multiplier on the tabulated wood E, default 1.0.</t>
  </si>
  <si>
    <t xml:space="preserve">Table B.4, kt, Ct (aluminum)</t>
  </si>
  <si>
    <t xml:space="preserve">Aluminum Design Manual buckling-constant table, tension coefficient, and the compression constant Ct.</t>
  </si>
  <si>
    <t xml:space="preserve">Ftu, Fty, Fcy, Fsu (aluminum)</t>
  </si>
  <si>
    <t xml:space="preserve">Tensile ultimate, tensile yield, compressive yield, and shear ultimate strengths.</t>
  </si>
  <si>
    <t xml:space="preserve">n (stainless)</t>
  </si>
  <si>
    <t xml:space="preserve">Ramberg-Osgood strain-hardening exponent for the nonlinear stainless stress-strain curve.</t>
  </si>
  <si>
    <t xml:space="preserve">Isotropic: same E in every direction for plate/shell elements.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</si>
</sst>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00"/>
    <numFmt numFmtId="167" formatCode="#,##0.0"/>
    <numFmt numFmtId="168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4B2C7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4B2C7F"/>
        <bgColor rgb="FF333333"/>
      </patternFill>
    </fill>
    <fill>
      <patternFill patternType="solid">
        <fgColor rgb="FFEAF2E3"/>
        <bgColor rgb="FFF7F3FB"/>
      </patternFill>
    </fill>
    <fill>
      <patternFill patternType="solid">
        <fgColor rgb="FFF7F3F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4B2C7F"/>
          <bgColor rgb="FF000000"/>
        </patternFill>
      </fill>
    </dxf>
    <dxf>
      <fill>
        <patternFill patternType="solid">
          <fgColor rgb="FFF7F3F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AF2E3"/>
      <rgbColor rgb="FFF7F3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4B2C7F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6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 t="s">
        <v>8</v>
      </c>
    </row>
    <row r="11" customFormat="false" ht="15" hidden="false" customHeight="false" outlineLevel="0" collapsed="false">
      <c r="A11" s="2" t="s">
        <v>9</v>
      </c>
    </row>
    <row r="12" customFormat="false" ht="15" hidden="false" customHeight="false" outlineLevel="0" collapsed="false">
      <c r="A12" s="2" t="s">
        <v>10</v>
      </c>
    </row>
    <row r="14" customFormat="false" ht="15" hidden="false" customHeight="false" outlineLevel="0" collapsed="false">
      <c r="A14" s="3" t="s">
        <v>11</v>
      </c>
    </row>
    <row r="15" customFormat="false" ht="15" hidden="false" customHeight="false" outlineLevel="0" collapsed="false">
      <c r="A15" s="3" t="s">
        <v>12</v>
      </c>
      <c r="B15" s="2" t="s">
        <v>13</v>
      </c>
    </row>
    <row r="16" customFormat="false" ht="15" hidden="false" customHeight="false" outlineLevel="0" collapsed="false">
      <c r="A16" s="3" t="s">
        <v>14</v>
      </c>
      <c r="B16" s="2" t="s">
        <v>15</v>
      </c>
    </row>
    <row r="17" customFormat="false" ht="15" hidden="false" customHeight="false" outlineLevel="0" collapsed="false">
      <c r="A17" s="3" t="s">
        <v>16</v>
      </c>
      <c r="B17" s="2" t="s">
        <v>17</v>
      </c>
    </row>
    <row r="18" customFormat="false" ht="15" hidden="false" customHeight="false" outlineLevel="0" collapsed="false">
      <c r="A18" s="3" t="s">
        <v>18</v>
      </c>
      <c r="B18" s="2" t="s">
        <v>19</v>
      </c>
    </row>
    <row r="19" customFormat="false" ht="15" hidden="false" customHeight="false" outlineLevel="0" collapsed="false">
      <c r="A19" s="3" t="s">
        <v>20</v>
      </c>
      <c r="B19" s="2" t="s">
        <v>21</v>
      </c>
    </row>
    <row r="20" customFormat="false" ht="15" hidden="false" customHeight="false" outlineLevel="0" collapsed="false">
      <c r="A20" s="3" t="s">
        <v>22</v>
      </c>
      <c r="B20" s="2" t="s">
        <v>23</v>
      </c>
    </row>
    <row r="21" customFormat="false" ht="15" hidden="false" customHeight="false" outlineLevel="0" collapsed="false">
      <c r="A21" s="3" t="s">
        <v>24</v>
      </c>
      <c r="B21" s="2" t="s">
        <v>25</v>
      </c>
    </row>
    <row r="22" customFormat="false" ht="15" hidden="false" customHeight="false" outlineLevel="0" collapsed="false">
      <c r="A22" s="3" t="s">
        <v>26</v>
      </c>
      <c r="B22" s="2" t="s">
        <v>27</v>
      </c>
    </row>
    <row r="23" customFormat="false" ht="15" hidden="false" customHeight="false" outlineLevel="0" collapsed="false">
      <c r="A23" s="3" t="s">
        <v>28</v>
      </c>
      <c r="B23" s="2" t="s">
        <v>29</v>
      </c>
    </row>
    <row r="24" customFormat="false" ht="15" hidden="false" customHeight="false" outlineLevel="0" collapsed="false">
      <c r="A24" s="3" t="s">
        <v>30</v>
      </c>
      <c r="B24" s="2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9"/>
    <col collapsed="false" customWidth="true" hidden="false" outlineLevel="0" max="4" min="4" style="0" width="8"/>
    <col collapsed="false" customWidth="true" hidden="false" outlineLevel="0" max="5" min="5" style="0" width="25"/>
    <col collapsed="false" customWidth="true" hidden="false" outlineLevel="0" max="6" min="6" style="0" width="17"/>
    <col collapsed="false" customWidth="true" hidden="false" outlineLevel="0" max="7" min="7" style="0" width="13"/>
    <col collapsed="false" customWidth="true" hidden="false" outlineLevel="0" max="8" min="8" style="0" width="8"/>
    <col collapsed="false" customWidth="true" hidden="false" outlineLevel="0" max="9" min="9" style="0" width="10"/>
    <col collapsed="false" customWidth="true" hidden="false" outlineLevel="0" max="10" min="10" style="0" width="8"/>
    <col collapsed="false" customWidth="true" hidden="false" outlineLevel="0" max="12" min="12" style="0" width="22"/>
    <col collapsed="false" customWidth="true" hidden="false" outlineLevel="0" max="13" min="13" style="0" width="14"/>
  </cols>
  <sheetData>
    <row r="1" customFormat="false" ht="17.35" hidden="false" customHeight="false" outlineLevel="0" collapsed="false">
      <c r="A1" s="1" t="s">
        <v>32</v>
      </c>
    </row>
    <row r="2" customFormat="false" ht="15" hidden="false" customHeight="false" outlineLevel="0" collapsed="false">
      <c r="A2" s="4" t="s">
        <v>33</v>
      </c>
    </row>
    <row r="4" customFormat="false" ht="30" hidden="false" customHeight="true" outlineLevel="0" collapsed="false">
      <c r="A4" s="5" t="s">
        <v>34</v>
      </c>
      <c r="B4" s="5" t="s">
        <v>35</v>
      </c>
      <c r="C4" s="5" t="s">
        <v>36</v>
      </c>
      <c r="D4" s="5" t="s">
        <v>37</v>
      </c>
      <c r="E4" s="5" t="s">
        <v>38</v>
      </c>
      <c r="F4" s="5" t="s">
        <v>39</v>
      </c>
      <c r="G4" s="5" t="s">
        <v>40</v>
      </c>
      <c r="H4" s="5" t="s">
        <v>41</v>
      </c>
      <c r="I4" s="5" t="s">
        <v>42</v>
      </c>
      <c r="J4" s="5" t="s">
        <v>43</v>
      </c>
      <c r="L4" s="5" t="s">
        <v>44</v>
      </c>
      <c r="M4" s="5" t="s">
        <v>45</v>
      </c>
    </row>
    <row r="5" customFormat="false" ht="15" hidden="false" customHeight="false" outlineLevel="0" collapsed="false">
      <c r="A5" s="6" t="s">
        <v>46</v>
      </c>
      <c r="B5" s="7" t="n">
        <v>29000</v>
      </c>
      <c r="C5" s="7" t="n">
        <v>11154</v>
      </c>
      <c r="D5" s="8" t="n">
        <v>0.3</v>
      </c>
      <c r="E5" s="8" t="n">
        <v>0.65</v>
      </c>
      <c r="F5" s="8" t="n">
        <v>0.49</v>
      </c>
      <c r="G5" s="7" t="n">
        <v>36</v>
      </c>
      <c r="H5" s="8" t="n">
        <v>1.5</v>
      </c>
      <c r="I5" s="7" t="n">
        <v>58</v>
      </c>
      <c r="J5" s="8" t="n">
        <v>1.2</v>
      </c>
      <c r="L5" s="9" t="n">
        <f aca="false">B5/(2*(1+D5))</f>
        <v>11153.8461538462</v>
      </c>
      <c r="M5" s="10" t="n">
        <f aca="false">IF(ISNUMBER(C5),(C5-L5)/L5,"n/a")</f>
        <v>1.37931034482382E-005</v>
      </c>
    </row>
    <row r="6" customFormat="false" ht="15" hidden="false" customHeight="false" outlineLevel="0" collapsed="false">
      <c r="A6" s="11" t="s">
        <v>47</v>
      </c>
      <c r="B6" s="12" t="n">
        <v>29000</v>
      </c>
      <c r="C6" s="12" t="n">
        <v>11154</v>
      </c>
      <c r="D6" s="13" t="n">
        <v>0.3</v>
      </c>
      <c r="E6" s="13" t="n">
        <v>0.65</v>
      </c>
      <c r="F6" s="13" t="n">
        <v>0.49</v>
      </c>
      <c r="G6" s="12" t="n">
        <v>50</v>
      </c>
      <c r="H6" s="13" t="n">
        <v>1.1</v>
      </c>
      <c r="I6" s="12" t="n">
        <v>58</v>
      </c>
      <c r="J6" s="13" t="n">
        <v>1.2</v>
      </c>
      <c r="L6" s="9" t="n">
        <f aca="false">B6/(2*(1+D6))</f>
        <v>11153.8461538462</v>
      </c>
      <c r="M6" s="10" t="n">
        <f aca="false">IF(ISNUMBER(C6),(C6-L6)/L6,"n/a")</f>
        <v>1.37931034482382E-005</v>
      </c>
    </row>
    <row r="7" customFormat="false" ht="15" hidden="false" customHeight="false" outlineLevel="0" collapsed="false">
      <c r="A7" s="6" t="s">
        <v>48</v>
      </c>
      <c r="B7" s="7" t="n">
        <v>29000</v>
      </c>
      <c r="C7" s="7" t="n">
        <v>11154</v>
      </c>
      <c r="D7" s="8" t="n">
        <v>0.3</v>
      </c>
      <c r="E7" s="8" t="n">
        <v>0.65</v>
      </c>
      <c r="F7" s="8" t="n">
        <v>0.49</v>
      </c>
      <c r="G7" s="7" t="n">
        <v>50</v>
      </c>
      <c r="H7" s="8" t="n">
        <v>1.1</v>
      </c>
      <c r="I7" s="7" t="n">
        <v>58</v>
      </c>
      <c r="J7" s="8" t="n">
        <v>1.2</v>
      </c>
      <c r="L7" s="9" t="n">
        <f aca="false">B7/(2*(1+D7))</f>
        <v>11153.8461538462</v>
      </c>
      <c r="M7" s="10" t="n">
        <f aca="false">IF(ISNUMBER(C7),(C7-L7)/L7,"n/a")</f>
        <v>1.37931034482382E-005</v>
      </c>
    </row>
    <row r="8" customFormat="false" ht="15" hidden="false" customHeight="false" outlineLevel="0" collapsed="false">
      <c r="A8" s="11" t="s">
        <v>49</v>
      </c>
      <c r="B8" s="12" t="n">
        <v>29000</v>
      </c>
      <c r="C8" s="12" t="n">
        <v>11154</v>
      </c>
      <c r="D8" s="13" t="n">
        <v>0.3</v>
      </c>
      <c r="E8" s="13" t="n">
        <v>0.65</v>
      </c>
      <c r="F8" s="13" t="n">
        <v>0.49</v>
      </c>
      <c r="G8" s="12" t="n">
        <v>42</v>
      </c>
      <c r="H8" s="13" t="n">
        <v>1.3</v>
      </c>
      <c r="I8" s="12" t="n">
        <v>58</v>
      </c>
      <c r="J8" s="13" t="n">
        <v>1.1</v>
      </c>
      <c r="L8" s="9" t="n">
        <f aca="false">B8/(2*(1+D8))</f>
        <v>11153.8461538462</v>
      </c>
      <c r="M8" s="10" t="n">
        <f aca="false">IF(ISNUMBER(C8),(C8-L8)/L8,"n/a")</f>
        <v>1.37931034482382E-005</v>
      </c>
    </row>
    <row r="9" customFormat="false" ht="15" hidden="false" customHeight="false" outlineLevel="0" collapsed="false">
      <c r="A9" s="6" t="s">
        <v>50</v>
      </c>
      <c r="B9" s="7" t="n">
        <v>29000</v>
      </c>
      <c r="C9" s="7" t="n">
        <v>11154</v>
      </c>
      <c r="D9" s="8" t="n">
        <v>0.3</v>
      </c>
      <c r="E9" s="8" t="n">
        <v>0.65</v>
      </c>
      <c r="F9" s="8" t="n">
        <v>0.49</v>
      </c>
      <c r="G9" s="7" t="n">
        <v>46</v>
      </c>
      <c r="H9" s="8" t="n">
        <v>1.2</v>
      </c>
      <c r="I9" s="7" t="n">
        <v>58</v>
      </c>
      <c r="J9" s="8" t="n">
        <v>1.1</v>
      </c>
      <c r="L9" s="9" t="n">
        <f aca="false">B9/(2*(1+D9))</f>
        <v>11153.8461538462</v>
      </c>
      <c r="M9" s="10" t="n">
        <f aca="false">IF(ISNUMBER(C9),(C9-L9)/L9,"n/a")</f>
        <v>1.37931034482382E-005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9"/>
    <col collapsed="false" customWidth="true" hidden="false" outlineLevel="0" max="4" min="4" style="0" width="8"/>
    <col collapsed="false" customWidth="true" hidden="false" outlineLevel="0" max="5" min="5" style="0" width="25"/>
    <col collapsed="false" customWidth="true" hidden="false" outlineLevel="0" max="6" min="6" style="0" width="17"/>
    <col collapsed="false" customWidth="true" hidden="false" outlineLevel="0" max="7" min="7" style="0" width="13"/>
    <col collapsed="false" customWidth="true" hidden="false" outlineLevel="0" max="8" min="8" style="0" width="10"/>
    <col collapsed="false" customWidth="true" hidden="false" outlineLevel="0" max="10" min="10" style="0" width="22"/>
    <col collapsed="false" customWidth="true" hidden="false" outlineLevel="0" max="11" min="11" style="0" width="14"/>
  </cols>
  <sheetData>
    <row r="1" customFormat="false" ht="17.35" hidden="false" customHeight="false" outlineLevel="0" collapsed="false">
      <c r="A1" s="1" t="s">
        <v>51</v>
      </c>
    </row>
    <row r="2" customFormat="false" ht="15" hidden="false" customHeight="false" outlineLevel="0" collapsed="false">
      <c r="A2" s="4" t="s">
        <v>52</v>
      </c>
    </row>
    <row r="4" customFormat="false" ht="30" hidden="false" customHeight="true" outlineLevel="0" collapsed="false">
      <c r="A4" s="5" t="s">
        <v>34</v>
      </c>
      <c r="B4" s="5" t="s">
        <v>35</v>
      </c>
      <c r="C4" s="5" t="s">
        <v>36</v>
      </c>
      <c r="D4" s="5" t="s">
        <v>37</v>
      </c>
      <c r="E4" s="5" t="s">
        <v>38</v>
      </c>
      <c r="F4" s="5" t="s">
        <v>39</v>
      </c>
      <c r="G4" s="5" t="s">
        <v>40</v>
      </c>
      <c r="H4" s="5" t="s">
        <v>42</v>
      </c>
      <c r="J4" s="5" t="s">
        <v>44</v>
      </c>
      <c r="K4" s="5" t="s">
        <v>45</v>
      </c>
    </row>
    <row r="5" customFormat="false" ht="15" hidden="false" customHeight="false" outlineLevel="0" collapsed="false">
      <c r="A5" s="6" t="s">
        <v>53</v>
      </c>
      <c r="B5" s="7" t="n">
        <v>29500</v>
      </c>
      <c r="C5" s="7" t="n">
        <v>11346</v>
      </c>
      <c r="D5" s="8" t="n">
        <v>0.3</v>
      </c>
      <c r="E5" s="8" t="n">
        <v>0.65</v>
      </c>
      <c r="F5" s="8" t="n">
        <v>0.49</v>
      </c>
      <c r="G5" s="7" t="n">
        <v>33</v>
      </c>
      <c r="H5" s="7" t="n">
        <v>52</v>
      </c>
      <c r="J5" s="9" t="n">
        <f aca="false">B5/(2*(1+D5))</f>
        <v>11346.1538461538</v>
      </c>
      <c r="K5" s="10" t="n">
        <f aca="false">IF(ISNUMBER(C5),(C5-J5)/J5,"n/a")</f>
        <v>-1.35593220338613E-005</v>
      </c>
    </row>
    <row r="6" customFormat="false" ht="15" hidden="false" customHeight="false" outlineLevel="0" collapsed="false">
      <c r="A6" s="11" t="s">
        <v>54</v>
      </c>
      <c r="B6" s="12" t="n">
        <v>29500</v>
      </c>
      <c r="C6" s="12" t="n">
        <v>11346</v>
      </c>
      <c r="D6" s="13" t="n">
        <v>0.3</v>
      </c>
      <c r="E6" s="13" t="n">
        <v>0.65</v>
      </c>
      <c r="F6" s="13" t="n">
        <v>0.49</v>
      </c>
      <c r="G6" s="12" t="n">
        <v>55</v>
      </c>
      <c r="H6" s="12" t="n">
        <v>70</v>
      </c>
      <c r="J6" s="9" t="n">
        <f aca="false">B6/(2*(1+D6))</f>
        <v>11346.1538461538</v>
      </c>
      <c r="K6" s="10" t="n">
        <f aca="false">IF(ISNUMBER(C6),(C6-J6)/J6,"n/a")</f>
        <v>-1.35593220338613E-005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2"/>
    <col collapsed="false" customWidth="true" hidden="false" outlineLevel="0" max="3" min="3" style="0" width="17"/>
    <col collapsed="false" customWidth="true" hidden="false" outlineLevel="0" max="4" min="4" style="0" width="29"/>
    <col collapsed="false" customWidth="true" hidden="false" outlineLevel="0" max="9" min="5" style="0" width="8"/>
    <col collapsed="false" customWidth="true" hidden="false" outlineLevel="0" max="10" min="10" style="0" width="25"/>
    <col collapsed="false" customWidth="true" hidden="false" outlineLevel="0" max="11" min="11" style="0" width="17"/>
  </cols>
  <sheetData>
    <row r="1" customFormat="false" ht="17.35" hidden="false" customHeight="false" outlineLevel="0" collapsed="false">
      <c r="A1" s="1" t="s">
        <v>55</v>
      </c>
    </row>
    <row r="2" customFormat="false" ht="15" hidden="false" customHeight="false" outlineLevel="0" collapsed="false">
      <c r="A2" s="4" t="s">
        <v>56</v>
      </c>
    </row>
    <row r="4" customFormat="false" ht="30" hidden="false" customHeight="true" outlineLevel="0" collapsed="false">
      <c r="A4" s="5" t="s">
        <v>34</v>
      </c>
      <c r="B4" s="5" t="s">
        <v>57</v>
      </c>
      <c r="C4" s="5" t="s">
        <v>58</v>
      </c>
      <c r="D4" s="5" t="s">
        <v>59</v>
      </c>
      <c r="E4" s="5" t="s">
        <v>60</v>
      </c>
      <c r="F4" s="5" t="s">
        <v>61</v>
      </c>
      <c r="G4" s="5" t="s">
        <v>62</v>
      </c>
      <c r="H4" s="5" t="s">
        <v>63</v>
      </c>
      <c r="I4" s="5" t="s">
        <v>37</v>
      </c>
      <c r="J4" s="5" t="s">
        <v>38</v>
      </c>
      <c r="K4" s="5" t="s">
        <v>39</v>
      </c>
    </row>
    <row r="5" customFormat="false" ht="15" hidden="false" customHeight="false" outlineLevel="0" collapsed="false">
      <c r="A5" s="6" t="s">
        <v>64</v>
      </c>
      <c r="B5" s="6" t="s">
        <v>65</v>
      </c>
      <c r="C5" s="6" t="s">
        <v>66</v>
      </c>
      <c r="D5" s="6" t="s">
        <v>67</v>
      </c>
      <c r="E5" s="6" t="s">
        <v>68</v>
      </c>
      <c r="F5" s="6" t="s">
        <v>69</v>
      </c>
      <c r="G5" s="6" t="s">
        <v>69</v>
      </c>
      <c r="H5" s="7" t="n">
        <v>1</v>
      </c>
      <c r="I5" s="8" t="n">
        <v>0.3</v>
      </c>
      <c r="J5" s="8" t="n">
        <v>0.3</v>
      </c>
      <c r="K5" s="8" t="n">
        <v>0.035</v>
      </c>
    </row>
    <row r="6" customFormat="false" ht="15" hidden="false" customHeight="false" outlineLevel="0" collapsed="false">
      <c r="A6" s="11" t="s">
        <v>70</v>
      </c>
      <c r="B6" s="11" t="s">
        <v>65</v>
      </c>
      <c r="C6" s="11" t="s">
        <v>66</v>
      </c>
      <c r="D6" s="11" t="s">
        <v>71</v>
      </c>
      <c r="E6" s="11" t="s">
        <v>68</v>
      </c>
      <c r="F6" s="11" t="s">
        <v>69</v>
      </c>
      <c r="G6" s="11" t="s">
        <v>69</v>
      </c>
      <c r="H6" s="12" t="n">
        <v>1</v>
      </c>
      <c r="I6" s="13" t="n">
        <v>0.3</v>
      </c>
      <c r="J6" s="13" t="n">
        <v>0.3</v>
      </c>
      <c r="K6" s="13" t="n">
        <v>0.035</v>
      </c>
    </row>
    <row r="7" customFormat="false" ht="15" hidden="false" customHeight="false" outlineLevel="0" collapsed="false">
      <c r="A7" s="6" t="s">
        <v>72</v>
      </c>
      <c r="B7" s="6" t="s">
        <v>65</v>
      </c>
      <c r="C7" s="6" t="s">
        <v>66</v>
      </c>
      <c r="D7" s="6" t="s">
        <v>73</v>
      </c>
      <c r="E7" s="6" t="s">
        <v>68</v>
      </c>
      <c r="F7" s="6" t="s">
        <v>69</v>
      </c>
      <c r="G7" s="6" t="s">
        <v>69</v>
      </c>
      <c r="H7" s="7" t="n">
        <v>1</v>
      </c>
      <c r="I7" s="8" t="n">
        <v>0.3</v>
      </c>
      <c r="J7" s="8" t="n">
        <v>0.3</v>
      </c>
      <c r="K7" s="8" t="n">
        <v>0.035</v>
      </c>
    </row>
    <row r="8" customFormat="false" ht="15" hidden="false" customHeight="false" outlineLevel="0" collapsed="false">
      <c r="A8" s="11" t="s">
        <v>74</v>
      </c>
      <c r="B8" s="11" t="s">
        <v>65</v>
      </c>
      <c r="C8" s="11" t="s">
        <v>66</v>
      </c>
      <c r="D8" s="11" t="s">
        <v>75</v>
      </c>
      <c r="E8" s="11" t="s">
        <v>68</v>
      </c>
      <c r="F8" s="11" t="s">
        <v>69</v>
      </c>
      <c r="G8" s="11" t="s">
        <v>69</v>
      </c>
      <c r="H8" s="12" t="n">
        <v>1</v>
      </c>
      <c r="I8" s="13" t="n">
        <v>0.3</v>
      </c>
      <c r="J8" s="13" t="n">
        <v>0.3</v>
      </c>
      <c r="K8" s="13" t="n">
        <v>0.035</v>
      </c>
    </row>
    <row r="9" customFormat="false" ht="15" hidden="false" customHeight="false" outlineLevel="0" collapsed="false">
      <c r="A9" s="6" t="s">
        <v>76</v>
      </c>
      <c r="B9" s="6" t="s">
        <v>65</v>
      </c>
      <c r="C9" s="6" t="s">
        <v>66</v>
      </c>
      <c r="D9" s="6" t="s">
        <v>77</v>
      </c>
      <c r="E9" s="6" t="s">
        <v>68</v>
      </c>
      <c r="F9" s="6" t="s">
        <v>69</v>
      </c>
      <c r="G9" s="6" t="s">
        <v>69</v>
      </c>
      <c r="H9" s="7" t="n">
        <v>1</v>
      </c>
      <c r="I9" s="8" t="n">
        <v>0.3</v>
      </c>
      <c r="J9" s="8" t="n">
        <v>0.3</v>
      </c>
      <c r="K9" s="8" t="n">
        <v>0.035</v>
      </c>
    </row>
    <row r="10" customFormat="false" ht="15" hidden="false" customHeight="false" outlineLevel="0" collapsed="false">
      <c r="A10" s="11" t="s">
        <v>78</v>
      </c>
      <c r="B10" s="11" t="s">
        <v>65</v>
      </c>
      <c r="C10" s="11" t="s">
        <v>66</v>
      </c>
      <c r="D10" s="11" t="s">
        <v>79</v>
      </c>
      <c r="E10" s="11" t="s">
        <v>68</v>
      </c>
      <c r="F10" s="11" t="s">
        <v>69</v>
      </c>
      <c r="G10" s="11" t="s">
        <v>69</v>
      </c>
      <c r="H10" s="12" t="n">
        <v>1</v>
      </c>
      <c r="I10" s="13" t="n">
        <v>0.3</v>
      </c>
      <c r="J10" s="13" t="n">
        <v>0.3</v>
      </c>
      <c r="K10" s="13" t="n">
        <v>0.035</v>
      </c>
    </row>
    <row r="11" customFormat="false" ht="15" hidden="false" customHeight="false" outlineLevel="0" collapsed="false">
      <c r="A11" s="6" t="s">
        <v>80</v>
      </c>
      <c r="B11" s="6" t="s">
        <v>81</v>
      </c>
      <c r="C11" s="6" t="s">
        <v>82</v>
      </c>
      <c r="D11" s="6" t="s">
        <v>83</v>
      </c>
      <c r="E11" s="6" t="s">
        <v>84</v>
      </c>
      <c r="F11" s="6" t="s">
        <v>69</v>
      </c>
      <c r="G11" s="6" t="s">
        <v>69</v>
      </c>
      <c r="H11" s="7" t="n">
        <v>1</v>
      </c>
      <c r="I11" s="8" t="n">
        <v>0.3</v>
      </c>
      <c r="J11" s="8" t="n">
        <v>0.3</v>
      </c>
      <c r="K11" s="8" t="n">
        <v>0.035</v>
      </c>
    </row>
    <row r="12" customFormat="false" ht="15" hidden="false" customHeight="false" outlineLevel="0" collapsed="false">
      <c r="A12" s="11" t="s">
        <v>85</v>
      </c>
      <c r="B12" s="11" t="s">
        <v>81</v>
      </c>
      <c r="C12" s="11" t="s">
        <v>82</v>
      </c>
      <c r="D12" s="11" t="s">
        <v>86</v>
      </c>
      <c r="E12" s="11" t="s">
        <v>84</v>
      </c>
      <c r="F12" s="11" t="s">
        <v>69</v>
      </c>
      <c r="G12" s="11" t="s">
        <v>69</v>
      </c>
      <c r="H12" s="12" t="n">
        <v>1</v>
      </c>
      <c r="I12" s="13" t="n">
        <v>0.3</v>
      </c>
      <c r="J12" s="13" t="n">
        <v>0.3</v>
      </c>
      <c r="K12" s="13" t="n">
        <v>0.035</v>
      </c>
    </row>
    <row r="13" customFormat="false" ht="15" hidden="false" customHeight="false" outlineLevel="0" collapsed="false">
      <c r="A13" s="6" t="s">
        <v>87</v>
      </c>
      <c r="B13" s="6" t="s">
        <v>81</v>
      </c>
      <c r="C13" s="6" t="s">
        <v>82</v>
      </c>
      <c r="D13" s="6" t="s">
        <v>88</v>
      </c>
      <c r="E13" s="6" t="s">
        <v>84</v>
      </c>
      <c r="F13" s="6" t="s">
        <v>69</v>
      </c>
      <c r="G13" s="6" t="s">
        <v>69</v>
      </c>
      <c r="H13" s="7" t="n">
        <v>1</v>
      </c>
      <c r="I13" s="8" t="n">
        <v>0.3</v>
      </c>
      <c r="J13" s="8" t="n">
        <v>0.3</v>
      </c>
      <c r="K13" s="8" t="n">
        <v>0.035</v>
      </c>
    </row>
    <row r="14" customFormat="false" ht="15" hidden="false" customHeight="false" outlineLevel="0" collapsed="false">
      <c r="A14" s="11" t="s">
        <v>89</v>
      </c>
      <c r="B14" s="11" t="s">
        <v>81</v>
      </c>
      <c r="C14" s="11" t="s">
        <v>82</v>
      </c>
      <c r="D14" s="11" t="s">
        <v>90</v>
      </c>
      <c r="E14" s="11" t="s">
        <v>84</v>
      </c>
      <c r="F14" s="11" t="s">
        <v>69</v>
      </c>
      <c r="G14" s="11" t="s">
        <v>69</v>
      </c>
      <c r="H14" s="12" t="n">
        <v>1</v>
      </c>
      <c r="I14" s="13" t="n">
        <v>0.3</v>
      </c>
      <c r="J14" s="13" t="n">
        <v>0.3</v>
      </c>
      <c r="K14" s="13" t="n">
        <v>0.035</v>
      </c>
    </row>
    <row r="15" customFormat="false" ht="15" hidden="false" customHeight="false" outlineLevel="0" collapsed="false">
      <c r="A15" s="6" t="s">
        <v>91</v>
      </c>
      <c r="B15" s="6" t="s">
        <v>92</v>
      </c>
      <c r="C15" s="6" t="s">
        <v>93</v>
      </c>
      <c r="D15" s="6" t="s">
        <v>94</v>
      </c>
      <c r="E15" s="6" t="s">
        <v>84</v>
      </c>
      <c r="F15" s="6" t="s">
        <v>69</v>
      </c>
      <c r="G15" s="6" t="s">
        <v>69</v>
      </c>
      <c r="H15" s="7" t="n">
        <v>1</v>
      </c>
      <c r="I15" s="8" t="n">
        <v>0.3</v>
      </c>
      <c r="J15" s="8" t="n">
        <v>0.3</v>
      </c>
      <c r="K15" s="8" t="n">
        <v>0.035</v>
      </c>
    </row>
    <row r="16" customFormat="false" ht="15" hidden="false" customHeight="false" outlineLevel="0" collapsed="false">
      <c r="A16" s="11" t="s">
        <v>95</v>
      </c>
      <c r="B16" s="11" t="s">
        <v>92</v>
      </c>
      <c r="C16" s="11" t="s">
        <v>93</v>
      </c>
      <c r="D16" s="11" t="s">
        <v>96</v>
      </c>
      <c r="E16" s="11" t="s">
        <v>84</v>
      </c>
      <c r="F16" s="11" t="s">
        <v>69</v>
      </c>
      <c r="G16" s="11" t="s">
        <v>69</v>
      </c>
      <c r="H16" s="12" t="n">
        <v>1</v>
      </c>
      <c r="I16" s="13" t="n">
        <v>0.3</v>
      </c>
      <c r="J16" s="13" t="n">
        <v>0.3</v>
      </c>
      <c r="K16" s="13" t="n">
        <v>0.035</v>
      </c>
    </row>
    <row r="18" customFormat="false" ht="15" hidden="false" customHeight="false" outlineLevel="0" collapsed="false">
      <c r="A18" s="4" t="s">
        <v>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9"/>
    <col collapsed="false" customWidth="true" hidden="false" outlineLevel="0" max="4" min="4" style="0" width="8"/>
    <col collapsed="false" customWidth="true" hidden="false" outlineLevel="0" max="5" min="5" style="0" width="25"/>
    <col collapsed="false" customWidth="true" hidden="false" outlineLevel="0" max="6" min="6" style="0" width="17"/>
    <col collapsed="false" customWidth="true" hidden="false" outlineLevel="0" max="7" min="7" style="0" width="11"/>
    <col collapsed="false" customWidth="true" hidden="false" outlineLevel="0" max="8" min="8" style="0" width="8"/>
    <col collapsed="false" customWidth="true" hidden="false" outlineLevel="0" max="9" min="9" style="0" width="18"/>
    <col collapsed="false" customWidth="true" hidden="false" outlineLevel="0" max="10" min="10" style="0" width="19"/>
    <col collapsed="false" customWidth="true" hidden="false" outlineLevel="0" max="12" min="12" style="0" width="22"/>
    <col collapsed="false" customWidth="true" hidden="false" outlineLevel="0" max="13" min="13" style="0" width="14"/>
  </cols>
  <sheetData>
    <row r="1" customFormat="false" ht="17.35" hidden="false" customHeight="false" outlineLevel="0" collapsed="false">
      <c r="A1" s="1" t="s">
        <v>98</v>
      </c>
    </row>
    <row r="2" customFormat="false" ht="15" hidden="false" customHeight="false" outlineLevel="0" collapsed="false">
      <c r="A2" s="4" t="s">
        <v>99</v>
      </c>
    </row>
    <row r="4" customFormat="false" ht="30" hidden="false" customHeight="true" outlineLevel="0" collapsed="false">
      <c r="A4" s="5" t="s">
        <v>34</v>
      </c>
      <c r="B4" s="5" t="s">
        <v>35</v>
      </c>
      <c r="C4" s="5" t="s">
        <v>36</v>
      </c>
      <c r="D4" s="5" t="s">
        <v>37</v>
      </c>
      <c r="E4" s="5" t="s">
        <v>38</v>
      </c>
      <c r="F4" s="5" t="s">
        <v>39</v>
      </c>
      <c r="G4" s="5" t="s">
        <v>100</v>
      </c>
      <c r="H4" s="5" t="s">
        <v>101</v>
      </c>
      <c r="I4" s="5" t="s">
        <v>102</v>
      </c>
      <c r="J4" s="5" t="s">
        <v>103</v>
      </c>
      <c r="L4" s="5" t="s">
        <v>44</v>
      </c>
      <c r="M4" s="5" t="s">
        <v>45</v>
      </c>
    </row>
    <row r="5" customFormat="false" ht="15" hidden="false" customHeight="false" outlineLevel="0" collapsed="false">
      <c r="A5" s="6" t="s">
        <v>104</v>
      </c>
      <c r="B5" s="7" t="n">
        <v>3156</v>
      </c>
      <c r="C5" s="7" t="n">
        <v>1372</v>
      </c>
      <c r="D5" s="8" t="n">
        <v>0.15</v>
      </c>
      <c r="E5" s="8" t="n">
        <v>0.6</v>
      </c>
      <c r="F5" s="8" t="n">
        <v>0.145</v>
      </c>
      <c r="G5" s="7" t="n">
        <v>3</v>
      </c>
      <c r="H5" s="7" t="n">
        <v>1</v>
      </c>
      <c r="I5" s="7" t="n">
        <v>60</v>
      </c>
      <c r="J5" s="7" t="n">
        <v>60</v>
      </c>
      <c r="L5" s="9" t="n">
        <f aca="false">B5/(2*(1+D5))</f>
        <v>1372.17391304348</v>
      </c>
      <c r="M5" s="10" t="n">
        <f aca="false">IF(ISNUMBER(C5),(C5-L5)/L5,"n/a")</f>
        <v>-0.000126742712294202</v>
      </c>
    </row>
    <row r="6" customFormat="false" ht="15" hidden="false" customHeight="false" outlineLevel="0" collapsed="false">
      <c r="A6" s="11" t="s">
        <v>105</v>
      </c>
      <c r="B6" s="12" t="n">
        <v>3409</v>
      </c>
      <c r="C6" s="12" t="n">
        <v>1482</v>
      </c>
      <c r="D6" s="13" t="n">
        <v>0.15</v>
      </c>
      <c r="E6" s="13" t="n">
        <v>0.6</v>
      </c>
      <c r="F6" s="13" t="n">
        <v>0.145</v>
      </c>
      <c r="G6" s="13" t="n">
        <v>3.5</v>
      </c>
      <c r="H6" s="12" t="n">
        <v>1</v>
      </c>
      <c r="I6" s="12" t="n">
        <v>60</v>
      </c>
      <c r="J6" s="12" t="n">
        <v>60</v>
      </c>
      <c r="L6" s="9" t="n">
        <f aca="false">B6/(2*(1+D6))</f>
        <v>1482.17391304348</v>
      </c>
      <c r="M6" s="10" t="n">
        <f aca="false">IF(ISNUMBER(C6),(C6-L6)/L6,"n/a")</f>
        <v>-0.000117336462305808</v>
      </c>
    </row>
    <row r="7" customFormat="false" ht="15" hidden="false" customHeight="false" outlineLevel="0" collapsed="false">
      <c r="A7" s="6" t="s">
        <v>106</v>
      </c>
      <c r="B7" s="7" t="n">
        <v>3644</v>
      </c>
      <c r="C7" s="7" t="n">
        <v>1584</v>
      </c>
      <c r="D7" s="8" t="n">
        <v>0.15</v>
      </c>
      <c r="E7" s="8" t="n">
        <v>0.6</v>
      </c>
      <c r="F7" s="8" t="n">
        <v>0.145</v>
      </c>
      <c r="G7" s="7" t="n">
        <v>4</v>
      </c>
      <c r="H7" s="7" t="n">
        <v>1</v>
      </c>
      <c r="I7" s="7" t="n">
        <v>60</v>
      </c>
      <c r="J7" s="7" t="n">
        <v>60</v>
      </c>
      <c r="L7" s="9" t="n">
        <f aca="false">B7/(2*(1+D7))</f>
        <v>1584.34782608696</v>
      </c>
      <c r="M7" s="10" t="n">
        <f aca="false">IF(ISNUMBER(C7),(C7-L7)/L7,"n/a")</f>
        <v>-0.000219538968166981</v>
      </c>
    </row>
    <row r="8" customFormat="false" ht="15" hidden="false" customHeight="false" outlineLevel="0" collapsed="false">
      <c r="A8" s="11" t="s">
        <v>107</v>
      </c>
      <c r="B8" s="12" t="n">
        <v>2085</v>
      </c>
      <c r="C8" s="12" t="n">
        <v>907</v>
      </c>
      <c r="D8" s="13" t="n">
        <v>0.15</v>
      </c>
      <c r="E8" s="13" t="n">
        <v>0.6</v>
      </c>
      <c r="F8" s="13" t="n">
        <v>0.11</v>
      </c>
      <c r="G8" s="12" t="n">
        <v>3</v>
      </c>
      <c r="H8" s="13" t="n">
        <v>0.75</v>
      </c>
      <c r="I8" s="12" t="n">
        <v>60</v>
      </c>
      <c r="J8" s="12" t="n">
        <v>60</v>
      </c>
      <c r="L8" s="9" t="n">
        <f aca="false">B8/(2*(1+D8))</f>
        <v>906.521739130435</v>
      </c>
      <c r="M8" s="10" t="n">
        <f aca="false">IF(ISNUMBER(C8),(C8-L8)/L8,"n/a")</f>
        <v>0.000527577937649787</v>
      </c>
    </row>
    <row r="9" customFormat="false" ht="15" hidden="false" customHeight="false" outlineLevel="0" collapsed="false">
      <c r="A9" s="6" t="s">
        <v>108</v>
      </c>
      <c r="B9" s="7" t="n">
        <v>2252</v>
      </c>
      <c r="C9" s="7" t="n">
        <v>979</v>
      </c>
      <c r="D9" s="8" t="n">
        <v>0.15</v>
      </c>
      <c r="E9" s="8" t="n">
        <v>0.6</v>
      </c>
      <c r="F9" s="8" t="n">
        <v>0.11</v>
      </c>
      <c r="G9" s="8" t="n">
        <v>3.5</v>
      </c>
      <c r="H9" s="8" t="n">
        <v>0.75</v>
      </c>
      <c r="I9" s="7" t="n">
        <v>60</v>
      </c>
      <c r="J9" s="7" t="n">
        <v>60</v>
      </c>
      <c r="L9" s="9" t="n">
        <f aca="false">B9/(2*(1+D9))</f>
        <v>979.130434782609</v>
      </c>
      <c r="M9" s="10" t="n">
        <f aca="false">IF(ISNUMBER(C9),(C9-L9)/L9,"n/a")</f>
        <v>-0.000133214920071098</v>
      </c>
    </row>
    <row r="10" customFormat="false" ht="15" hidden="false" customHeight="false" outlineLevel="0" collapsed="false">
      <c r="A10" s="11" t="s">
        <v>109</v>
      </c>
      <c r="B10" s="12" t="n">
        <v>2408</v>
      </c>
      <c r="C10" s="12" t="n">
        <v>1047</v>
      </c>
      <c r="D10" s="13" t="n">
        <v>0.15</v>
      </c>
      <c r="E10" s="13" t="n">
        <v>0.6</v>
      </c>
      <c r="F10" s="13" t="n">
        <v>0.11</v>
      </c>
      <c r="G10" s="12" t="n">
        <v>4</v>
      </c>
      <c r="H10" s="13" t="n">
        <v>0.75</v>
      </c>
      <c r="I10" s="12" t="n">
        <v>60</v>
      </c>
      <c r="J10" s="12" t="n">
        <v>60</v>
      </c>
      <c r="L10" s="9" t="n">
        <f aca="false">B10/(2*(1+D10))</f>
        <v>1046.95652173913</v>
      </c>
      <c r="M10" s="10" t="n">
        <f aca="false">IF(ISNUMBER(C10),(C10-L10)/L10,"n/a")</f>
        <v>4.15282392026012E-005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3" min="2" style="0" width="9"/>
    <col collapsed="false" customWidth="true" hidden="false" outlineLevel="0" max="4" min="4" style="0" width="8"/>
    <col collapsed="false" customWidth="true" hidden="false" outlineLevel="0" max="5" min="5" style="0" width="25"/>
    <col collapsed="false" customWidth="true" hidden="false" outlineLevel="0" max="6" min="6" style="0" width="21"/>
    <col collapsed="false" customWidth="true" hidden="false" outlineLevel="0" max="7" min="7" style="0" width="11"/>
    <col collapsed="false" customWidth="true" hidden="false" outlineLevel="0" max="8" min="8" style="0" width="18"/>
    <col collapsed="false" customWidth="true" hidden="false" outlineLevel="0" max="9" min="9" style="0" width="19"/>
    <col collapsed="false" customWidth="true" hidden="false" outlineLevel="0" max="11" min="11" style="0" width="22"/>
    <col collapsed="false" customWidth="true" hidden="false" outlineLevel="0" max="12" min="12" style="0" width="14"/>
  </cols>
  <sheetData>
    <row r="1" customFormat="false" ht="17.35" hidden="false" customHeight="false" outlineLevel="0" collapsed="false">
      <c r="A1" s="1" t="s">
        <v>110</v>
      </c>
    </row>
    <row r="2" customFormat="false" ht="15" hidden="false" customHeight="false" outlineLevel="0" collapsed="false">
      <c r="A2" s="4" t="s">
        <v>111</v>
      </c>
    </row>
    <row r="4" customFormat="false" ht="30" hidden="false" customHeight="true" outlineLevel="0" collapsed="false">
      <c r="A4" s="5" t="s">
        <v>34</v>
      </c>
      <c r="B4" s="5" t="s">
        <v>35</v>
      </c>
      <c r="C4" s="5" t="s">
        <v>36</v>
      </c>
      <c r="D4" s="5" t="s">
        <v>37</v>
      </c>
      <c r="E4" s="5" t="s">
        <v>38</v>
      </c>
      <c r="F4" s="5" t="s">
        <v>112</v>
      </c>
      <c r="G4" s="5" t="s">
        <v>113</v>
      </c>
      <c r="H4" s="5" t="s">
        <v>102</v>
      </c>
      <c r="I4" s="5" t="s">
        <v>103</v>
      </c>
      <c r="K4" s="5" t="s">
        <v>44</v>
      </c>
      <c r="L4" s="5" t="s">
        <v>45</v>
      </c>
    </row>
    <row r="5" customFormat="false" ht="15" hidden="false" customHeight="false" outlineLevel="0" collapsed="false">
      <c r="A5" s="6" t="s">
        <v>114</v>
      </c>
      <c r="B5" s="7" t="n">
        <v>1350</v>
      </c>
      <c r="C5" s="7" t="n">
        <v>540</v>
      </c>
      <c r="D5" s="8" t="n">
        <v>0.25</v>
      </c>
      <c r="E5" s="8" t="n">
        <v>0.6</v>
      </c>
      <c r="F5" s="6" t="s">
        <v>92</v>
      </c>
      <c r="G5" s="8" t="n">
        <v>1.5</v>
      </c>
      <c r="H5" s="7" t="n">
        <v>60</v>
      </c>
      <c r="I5" s="7" t="n">
        <v>60</v>
      </c>
      <c r="K5" s="9" t="n">
        <f aca="false">B5/(2*(1+D5))</f>
        <v>540</v>
      </c>
      <c r="L5" s="10" t="n">
        <f aca="false">IF(ISNUMBER(C5),(C5-K5)/K5,"n/a")</f>
        <v>0</v>
      </c>
    </row>
    <row r="6" customFormat="false" ht="15" hidden="false" customHeight="false" outlineLevel="0" collapsed="false">
      <c r="A6" s="11" t="s">
        <v>115</v>
      </c>
      <c r="B6" s="12" t="n">
        <v>1050</v>
      </c>
      <c r="C6" s="12" t="n">
        <v>420</v>
      </c>
      <c r="D6" s="13" t="n">
        <v>0.25</v>
      </c>
      <c r="E6" s="13" t="n">
        <v>0.6</v>
      </c>
      <c r="F6" s="11" t="s">
        <v>92</v>
      </c>
      <c r="G6" s="13" t="n">
        <v>1.5</v>
      </c>
      <c r="H6" s="12" t="n">
        <v>60</v>
      </c>
      <c r="I6" s="12" t="n">
        <v>60</v>
      </c>
      <c r="K6" s="9" t="n">
        <f aca="false">B6/(2*(1+D6))</f>
        <v>420</v>
      </c>
      <c r="L6" s="10" t="n">
        <f aca="false">IF(ISNUMBER(C6),(C6-K6)/K6,"n/a")</f>
        <v>0</v>
      </c>
    </row>
    <row r="9" customFormat="false" ht="15" hidden="false" customHeight="false" outlineLevel="0" collapsed="false">
      <c r="A9" s="3" t="s">
        <v>116</v>
      </c>
    </row>
    <row r="10" customFormat="false" ht="15" hidden="false" customHeight="false" outlineLevel="0" collapsed="false">
      <c r="A10" s="2" t="s">
        <v>117</v>
      </c>
      <c r="B10" s="2" t="s">
        <v>118</v>
      </c>
    </row>
    <row r="11" customFormat="false" ht="15" hidden="false" customHeight="false" outlineLevel="0" collapsed="false">
      <c r="A11" s="2" t="s">
        <v>119</v>
      </c>
      <c r="B11" s="2" t="s">
        <v>120</v>
      </c>
    </row>
    <row r="12" customFormat="false" ht="15" hidden="false" customHeight="false" outlineLevel="0" collapsed="false">
      <c r="A12" s="2" t="s">
        <v>121</v>
      </c>
      <c r="B12" s="2" t="s">
        <v>122</v>
      </c>
    </row>
    <row r="13" customFormat="false" ht="15" hidden="false" customHeight="false" outlineLevel="0" collapsed="false">
      <c r="A13" s="2" t="s">
        <v>123</v>
      </c>
      <c r="B13" s="14" t="n">
        <v>0.08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9"/>
    <col collapsed="false" customWidth="true" hidden="false" outlineLevel="0" max="4" min="4" style="0" width="8"/>
    <col collapsed="false" customWidth="true" hidden="false" outlineLevel="0" max="5" min="5" style="0" width="25"/>
    <col collapsed="false" customWidth="true" hidden="false" outlineLevel="0" max="6" min="6" style="0" width="17"/>
    <col collapsed="false" customWidth="true" hidden="false" outlineLevel="0" max="7" min="7" style="0" width="13"/>
    <col collapsed="false" customWidth="true" hidden="false" outlineLevel="0" max="8" min="8" style="0" width="8"/>
    <col collapsed="false" customWidth="true" hidden="false" outlineLevel="0" max="12" min="9" style="0" width="11"/>
    <col collapsed="false" customWidth="true" hidden="false" outlineLevel="0" max="13" min="13" style="0" width="8"/>
    <col collapsed="false" customWidth="true" hidden="false" outlineLevel="0" max="15" min="15" style="0" width="22"/>
    <col collapsed="false" customWidth="true" hidden="false" outlineLevel="0" max="16" min="16" style="0" width="14"/>
  </cols>
  <sheetData>
    <row r="1" customFormat="false" ht="17.35" hidden="false" customHeight="false" outlineLevel="0" collapsed="false">
      <c r="A1" s="1" t="s">
        <v>124</v>
      </c>
    </row>
    <row r="2" customFormat="false" ht="15" hidden="false" customHeight="false" outlineLevel="0" collapsed="false">
      <c r="A2" s="4" t="s">
        <v>125</v>
      </c>
    </row>
    <row r="4" customFormat="false" ht="30" hidden="false" customHeight="true" outlineLevel="0" collapsed="false">
      <c r="A4" s="5" t="s">
        <v>34</v>
      </c>
      <c r="B4" s="5" t="s">
        <v>35</v>
      </c>
      <c r="C4" s="5" t="s">
        <v>36</v>
      </c>
      <c r="D4" s="5" t="s">
        <v>37</v>
      </c>
      <c r="E4" s="5" t="s">
        <v>38</v>
      </c>
      <c r="F4" s="5" t="s">
        <v>39</v>
      </c>
      <c r="G4" s="5" t="s">
        <v>126</v>
      </c>
      <c r="H4" s="5" t="s">
        <v>127</v>
      </c>
      <c r="I4" s="5" t="s">
        <v>128</v>
      </c>
      <c r="J4" s="5" t="s">
        <v>129</v>
      </c>
      <c r="K4" s="5" t="s">
        <v>130</v>
      </c>
      <c r="L4" s="5" t="s">
        <v>131</v>
      </c>
      <c r="M4" s="5" t="s">
        <v>132</v>
      </c>
      <c r="O4" s="5" t="s">
        <v>44</v>
      </c>
      <c r="P4" s="5" t="s">
        <v>45</v>
      </c>
    </row>
    <row r="5" customFormat="false" ht="15" hidden="false" customHeight="false" outlineLevel="0" collapsed="false">
      <c r="A5" s="6" t="s">
        <v>133</v>
      </c>
      <c r="B5" s="7" t="n">
        <v>10100</v>
      </c>
      <c r="C5" s="7" t="n">
        <v>3787.5</v>
      </c>
      <c r="D5" s="8" t="n">
        <v>0.33</v>
      </c>
      <c r="E5" s="8" t="n">
        <v>1.3</v>
      </c>
      <c r="F5" s="8" t="n">
        <v>0.173</v>
      </c>
      <c r="G5" s="6" t="s">
        <v>134</v>
      </c>
      <c r="H5" s="7" t="n">
        <v>1</v>
      </c>
      <c r="I5" s="7" t="n">
        <v>19</v>
      </c>
      <c r="J5" s="7" t="n">
        <v>16</v>
      </c>
      <c r="K5" s="7" t="n">
        <v>13</v>
      </c>
      <c r="L5" s="7" t="n">
        <v>12</v>
      </c>
      <c r="M5" s="7" t="n">
        <v>141</v>
      </c>
      <c r="O5" s="9" t="n">
        <f aca="false">B5/(2*(1+D5))</f>
        <v>3796.99248120301</v>
      </c>
      <c r="P5" s="10" t="n">
        <f aca="false">IF(ISNUMBER(C5),(C5-O5)/O5,"n/a")</f>
        <v>-0.00249999999999991</v>
      </c>
    </row>
    <row r="6" customFormat="false" ht="15" hidden="false" customHeight="false" outlineLevel="0" collapsed="false">
      <c r="A6" s="11" t="s">
        <v>135</v>
      </c>
      <c r="B6" s="12" t="n">
        <v>10100</v>
      </c>
      <c r="C6" s="12" t="n">
        <v>3787.5</v>
      </c>
      <c r="D6" s="13" t="n">
        <v>0.33</v>
      </c>
      <c r="E6" s="13" t="n">
        <v>1.3</v>
      </c>
      <c r="F6" s="13" t="n">
        <v>0.173</v>
      </c>
      <c r="G6" s="11" t="s">
        <v>136</v>
      </c>
      <c r="H6" s="12" t="n">
        <v>1</v>
      </c>
      <c r="I6" s="12" t="n">
        <v>38</v>
      </c>
      <c r="J6" s="12" t="n">
        <v>35</v>
      </c>
      <c r="K6" s="12" t="n">
        <v>35</v>
      </c>
      <c r="L6" s="12" t="n">
        <v>24</v>
      </c>
      <c r="M6" s="12" t="n">
        <v>141</v>
      </c>
      <c r="O6" s="9" t="n">
        <f aca="false">B6/(2*(1+D6))</f>
        <v>3796.99248120301</v>
      </c>
      <c r="P6" s="10" t="n">
        <f aca="false">IF(ISNUMBER(C6),(C6-O6)/O6,"n/a")</f>
        <v>-0.00249999999999991</v>
      </c>
    </row>
    <row r="7" customFormat="false" ht="15" hidden="false" customHeight="false" outlineLevel="0" collapsed="false">
      <c r="A7" s="6" t="s">
        <v>137</v>
      </c>
      <c r="B7" s="7" t="n">
        <v>10100</v>
      </c>
      <c r="C7" s="7" t="n">
        <v>3787.5</v>
      </c>
      <c r="D7" s="8" t="n">
        <v>0.33</v>
      </c>
      <c r="E7" s="8" t="n">
        <v>1.3</v>
      </c>
      <c r="F7" s="8" t="n">
        <v>0.173</v>
      </c>
      <c r="G7" s="6" t="s">
        <v>136</v>
      </c>
      <c r="H7" s="7" t="n">
        <v>1</v>
      </c>
      <c r="I7" s="7" t="n">
        <v>22</v>
      </c>
      <c r="J7" s="7" t="n">
        <v>16</v>
      </c>
      <c r="K7" s="7" t="n">
        <v>16</v>
      </c>
      <c r="L7" s="7" t="n">
        <v>13</v>
      </c>
      <c r="M7" s="7" t="n">
        <v>141</v>
      </c>
      <c r="O7" s="9" t="n">
        <f aca="false">B7/(2*(1+D7))</f>
        <v>3796.99248120301</v>
      </c>
      <c r="P7" s="10" t="n">
        <f aca="false">IF(ISNUMBER(C7),(C7-O7)/O7,"n/a")</f>
        <v>-0.00249999999999991</v>
      </c>
    </row>
    <row r="8" customFormat="false" ht="15" hidden="false" customHeight="false" outlineLevel="0" collapsed="false">
      <c r="A8" s="11" t="s">
        <v>138</v>
      </c>
      <c r="B8" s="12" t="n">
        <v>10100</v>
      </c>
      <c r="C8" s="12" t="n">
        <v>3787.5</v>
      </c>
      <c r="D8" s="13" t="n">
        <v>0.33</v>
      </c>
      <c r="E8" s="13" t="n">
        <v>1.3</v>
      </c>
      <c r="F8" s="13" t="n">
        <v>0.173</v>
      </c>
      <c r="G8" s="11" t="s">
        <v>136</v>
      </c>
      <c r="H8" s="12" t="n">
        <v>1</v>
      </c>
      <c r="I8" s="12" t="n">
        <v>30</v>
      </c>
      <c r="J8" s="12" t="n">
        <v>25</v>
      </c>
      <c r="K8" s="12" t="n">
        <v>25</v>
      </c>
      <c r="L8" s="12" t="n">
        <v>19</v>
      </c>
      <c r="M8" s="12" t="n">
        <v>141</v>
      </c>
      <c r="O8" s="9" t="n">
        <f aca="false">B8/(2*(1+D8))</f>
        <v>3796.99248120301</v>
      </c>
      <c r="P8" s="10" t="n">
        <f aca="false">IF(ISNUMBER(C8),(C8-O8)/O8,"n/a")</f>
        <v>-0.00249999999999991</v>
      </c>
    </row>
    <row r="9" customFormat="false" ht="15" hidden="false" customHeight="false" outlineLevel="0" collapsed="false">
      <c r="A9" s="6" t="s">
        <v>139</v>
      </c>
      <c r="B9" s="7" t="n">
        <v>10200</v>
      </c>
      <c r="C9" s="7" t="n">
        <v>3787.5</v>
      </c>
      <c r="D9" s="8" t="n">
        <v>0.33</v>
      </c>
      <c r="E9" s="8" t="n">
        <v>1.3</v>
      </c>
      <c r="F9" s="8" t="n">
        <v>0.173</v>
      </c>
      <c r="G9" s="6" t="s">
        <v>134</v>
      </c>
      <c r="H9" s="7" t="n">
        <v>1</v>
      </c>
      <c r="I9" s="7" t="n">
        <v>34</v>
      </c>
      <c r="J9" s="7" t="n">
        <v>26</v>
      </c>
      <c r="K9" s="7" t="n">
        <v>24</v>
      </c>
      <c r="L9" s="7" t="n">
        <v>20</v>
      </c>
      <c r="M9" s="7" t="n">
        <v>141</v>
      </c>
      <c r="O9" s="9" t="n">
        <f aca="false">B9/(2*(1+D9))</f>
        <v>3834.58646616541</v>
      </c>
      <c r="P9" s="10" t="n">
        <f aca="false">IF(ISNUMBER(C9),(C9-O9)/O9,"n/a")</f>
        <v>-0.0122794117647058</v>
      </c>
    </row>
    <row r="10" customFormat="false" ht="15" hidden="false" customHeight="false" outlineLevel="0" collapsed="false">
      <c r="A10" s="11" t="s">
        <v>140</v>
      </c>
      <c r="B10" s="12" t="n">
        <v>10100</v>
      </c>
      <c r="C10" s="12" t="n">
        <v>3787.5</v>
      </c>
      <c r="D10" s="13" t="n">
        <v>0.33</v>
      </c>
      <c r="E10" s="13" t="n">
        <v>1.3</v>
      </c>
      <c r="F10" s="13" t="n">
        <v>0.173</v>
      </c>
      <c r="G10" s="11" t="s">
        <v>136</v>
      </c>
      <c r="H10" s="12" t="n">
        <v>1</v>
      </c>
      <c r="I10" s="12" t="n">
        <v>24</v>
      </c>
      <c r="J10" s="12" t="n">
        <v>15</v>
      </c>
      <c r="K10" s="12" t="n">
        <v>15</v>
      </c>
      <c r="L10" s="12" t="n">
        <v>15</v>
      </c>
      <c r="M10" s="12" t="n">
        <v>141</v>
      </c>
      <c r="O10" s="9" t="n">
        <f aca="false">B10/(2*(1+D10))</f>
        <v>3796.99248120301</v>
      </c>
      <c r="P10" s="10" t="n">
        <f aca="false">IF(ISNUMBER(C10),(C10-O10)/O10,"n/a")</f>
        <v>-0.00249999999999991</v>
      </c>
    </row>
    <row r="12" customFormat="false" ht="15" hidden="false" customHeight="false" outlineLevel="0" collapsed="false">
      <c r="A12" s="4" t="s">
        <v>141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9"/>
    <col collapsed="false" customWidth="true" hidden="false" outlineLevel="0" max="3" min="3" style="0" width="11"/>
    <col collapsed="false" customWidth="true" hidden="false" outlineLevel="0" max="4" min="4" style="0" width="8"/>
    <col collapsed="false" customWidth="true" hidden="false" outlineLevel="0" max="5" min="5" style="0" width="25"/>
    <col collapsed="false" customWidth="true" hidden="false" outlineLevel="0" max="6" min="6" style="0" width="17"/>
    <col collapsed="false" customWidth="true" hidden="false" outlineLevel="0" max="7" min="7" style="0" width="8"/>
    <col collapsed="false" customWidth="true" hidden="false" outlineLevel="0" max="8" min="8" style="0" width="13"/>
    <col collapsed="false" customWidth="true" hidden="false" outlineLevel="0" max="9" min="9" style="0" width="10"/>
    <col collapsed="false" customWidth="true" hidden="false" outlineLevel="0" max="11" min="11" style="0" width="22"/>
    <col collapsed="false" customWidth="true" hidden="false" outlineLevel="0" max="12" min="12" style="0" width="14"/>
  </cols>
  <sheetData>
    <row r="1" customFormat="false" ht="17.35" hidden="false" customHeight="false" outlineLevel="0" collapsed="false">
      <c r="A1" s="1" t="s">
        <v>142</v>
      </c>
    </row>
    <row r="2" customFormat="false" ht="15" hidden="false" customHeight="false" outlineLevel="0" collapsed="false">
      <c r="A2" s="4" t="s">
        <v>143</v>
      </c>
    </row>
    <row r="4" customFormat="false" ht="30" hidden="false" customHeight="true" outlineLevel="0" collapsed="false">
      <c r="A4" s="5" t="s">
        <v>34</v>
      </c>
      <c r="B4" s="5" t="s">
        <v>35</v>
      </c>
      <c r="C4" s="5" t="s">
        <v>36</v>
      </c>
      <c r="D4" s="5" t="s">
        <v>37</v>
      </c>
      <c r="E4" s="5" t="s">
        <v>38</v>
      </c>
      <c r="F4" s="5" t="s">
        <v>39</v>
      </c>
      <c r="G4" s="5" t="s">
        <v>144</v>
      </c>
      <c r="H4" s="5" t="s">
        <v>40</v>
      </c>
      <c r="I4" s="5" t="s">
        <v>42</v>
      </c>
      <c r="K4" s="5" t="s">
        <v>44</v>
      </c>
      <c r="L4" s="5" t="s">
        <v>45</v>
      </c>
    </row>
    <row r="5" customFormat="false" ht="15" hidden="false" customHeight="false" outlineLevel="0" collapsed="false">
      <c r="A5" s="6" t="s">
        <v>145</v>
      </c>
      <c r="B5" s="7" t="n">
        <v>193100</v>
      </c>
      <c r="C5" s="7" t="n">
        <v>74325.484</v>
      </c>
      <c r="D5" s="8" t="n">
        <v>0.3</v>
      </c>
      <c r="E5" s="8" t="n">
        <v>1.674</v>
      </c>
      <c r="F5" s="8" t="n">
        <v>8.009</v>
      </c>
      <c r="G5" s="8" t="n">
        <v>5.6</v>
      </c>
      <c r="H5" s="15" t="n">
        <v>206.843</v>
      </c>
      <c r="I5" s="15" t="n">
        <v>517.107</v>
      </c>
      <c r="K5" s="9" t="n">
        <f aca="false">B5/(2*(1+D5))</f>
        <v>74269.2307692308</v>
      </c>
      <c r="L5" s="10" t="n">
        <f aca="false">IF(ISNUMBER(C5),(C5-K5)/K5,"n/a")</f>
        <v>0.000757423096841016</v>
      </c>
    </row>
    <row r="7" customFormat="false" ht="15" hidden="false" customHeight="false" outlineLevel="0" collapsed="false">
      <c r="A7" s="4" t="s">
        <v>146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8"/>
    <col collapsed="false" customWidth="true" hidden="false" outlineLevel="0" max="5" min="5" style="0" width="25"/>
    <col collapsed="false" customWidth="true" hidden="false" outlineLevel="0" max="6" min="6" style="0" width="17"/>
    <col collapsed="false" customWidth="true" hidden="false" outlineLevel="0" max="7" min="7" style="0" width="19"/>
    <col collapsed="false" customWidth="true" hidden="false" outlineLevel="0" max="9" min="9" style="0" width="22"/>
    <col collapsed="false" customWidth="true" hidden="false" outlineLevel="0" max="10" min="10" style="0" width="14"/>
  </cols>
  <sheetData>
    <row r="1" customFormat="false" ht="17.35" hidden="false" customHeight="false" outlineLevel="0" collapsed="false">
      <c r="A1" s="1" t="s">
        <v>147</v>
      </c>
    </row>
    <row r="2" customFormat="false" ht="15" hidden="false" customHeight="false" outlineLevel="0" collapsed="false">
      <c r="A2" s="4" t="s">
        <v>148</v>
      </c>
    </row>
    <row r="4" customFormat="false" ht="30" hidden="false" customHeight="true" outlineLevel="0" collapsed="false">
      <c r="A4" s="5" t="s">
        <v>34</v>
      </c>
      <c r="B4" s="5" t="s">
        <v>35</v>
      </c>
      <c r="C4" s="5" t="s">
        <v>36</v>
      </c>
      <c r="D4" s="5" t="s">
        <v>37</v>
      </c>
      <c r="E4" s="5" t="s">
        <v>38</v>
      </c>
      <c r="F4" s="5" t="s">
        <v>39</v>
      </c>
      <c r="G4" s="5" t="s">
        <v>149</v>
      </c>
      <c r="I4" s="5" t="s">
        <v>44</v>
      </c>
      <c r="J4" s="5" t="s">
        <v>45</v>
      </c>
    </row>
    <row r="5" customFormat="false" ht="15" hidden="false" customHeight="false" outlineLevel="0" collapsed="false">
      <c r="A5" s="6" t="s">
        <v>150</v>
      </c>
      <c r="B5" s="7" t="n">
        <v>3155</v>
      </c>
      <c r="C5" s="7" t="n">
        <v>1372</v>
      </c>
      <c r="D5" s="8" t="n">
        <v>0.15</v>
      </c>
      <c r="E5" s="8" t="n">
        <v>0.6</v>
      </c>
      <c r="F5" s="8" t="n">
        <v>0.145</v>
      </c>
      <c r="G5" s="6" t="s">
        <v>151</v>
      </c>
      <c r="I5" s="9" t="n">
        <f aca="false">B5/(2*(1+D5))</f>
        <v>1371.73913043478</v>
      </c>
      <c r="J5" s="10" t="n">
        <f aca="false">IF(ISNUMBER(C5),(C5-I5)/I5,"n/a")</f>
        <v>0.000190174326465833</v>
      </c>
    </row>
    <row r="6" customFormat="false" ht="15" hidden="false" customHeight="false" outlineLevel="0" collapsed="false">
      <c r="A6" s="11" t="s">
        <v>152</v>
      </c>
      <c r="B6" s="12" t="n">
        <v>3644</v>
      </c>
      <c r="C6" s="12" t="n">
        <v>1584</v>
      </c>
      <c r="D6" s="13" t="n">
        <v>0.15</v>
      </c>
      <c r="E6" s="13" t="n">
        <v>0.6</v>
      </c>
      <c r="F6" s="13" t="n">
        <v>0.145</v>
      </c>
      <c r="G6" s="11" t="s">
        <v>151</v>
      </c>
      <c r="I6" s="9" t="n">
        <f aca="false">B6/(2*(1+D6))</f>
        <v>1584.34782608696</v>
      </c>
      <c r="J6" s="10" t="n">
        <f aca="false">IF(ISNUMBER(C6),(C6-I6)/I6,"n/a")</f>
        <v>-0.000219538968166981</v>
      </c>
    </row>
    <row r="7" customFormat="false" ht="15" hidden="false" customHeight="false" outlineLevel="0" collapsed="false">
      <c r="A7" s="6" t="s">
        <v>153</v>
      </c>
      <c r="B7" s="7" t="n">
        <v>2085</v>
      </c>
      <c r="C7" s="7" t="n">
        <v>906</v>
      </c>
      <c r="D7" s="8" t="n">
        <v>0.15</v>
      </c>
      <c r="E7" s="8" t="n">
        <v>0.6</v>
      </c>
      <c r="F7" s="8" t="n">
        <v>0.11</v>
      </c>
      <c r="G7" s="6" t="s">
        <v>151</v>
      </c>
      <c r="I7" s="9" t="n">
        <f aca="false">B7/(2*(1+D7))</f>
        <v>906.521739130435</v>
      </c>
      <c r="J7" s="10" t="n">
        <f aca="false">IF(ISNUMBER(C7),(C7-I7)/I7,"n/a")</f>
        <v>-0.000575539568345416</v>
      </c>
    </row>
    <row r="8" customFormat="false" ht="15" hidden="false" customHeight="false" outlineLevel="0" collapsed="false">
      <c r="A8" s="11" t="s">
        <v>154</v>
      </c>
      <c r="B8" s="12" t="n">
        <v>2408</v>
      </c>
      <c r="C8" s="12" t="n">
        <v>1047</v>
      </c>
      <c r="D8" s="13" t="n">
        <v>0.15</v>
      </c>
      <c r="E8" s="13" t="n">
        <v>0.6</v>
      </c>
      <c r="F8" s="13" t="n">
        <v>0.11</v>
      </c>
      <c r="G8" s="11" t="s">
        <v>151</v>
      </c>
      <c r="I8" s="9" t="n">
        <f aca="false">B8/(2*(1+D8))</f>
        <v>1046.95652173913</v>
      </c>
      <c r="J8" s="10" t="n">
        <f aca="false">IF(ISNUMBER(C8),(C8-I8)/I8,"n/a")</f>
        <v>4.15282392026012E-005</v>
      </c>
    </row>
    <row r="9" customFormat="false" ht="15" hidden="false" customHeight="false" outlineLevel="0" collapsed="false">
      <c r="A9" s="6" t="s">
        <v>155</v>
      </c>
      <c r="B9" s="7" t="n">
        <v>10600</v>
      </c>
      <c r="C9" s="7" t="n">
        <v>4077</v>
      </c>
      <c r="D9" s="8" t="n">
        <v>0.3</v>
      </c>
      <c r="E9" s="8" t="n">
        <v>1.29</v>
      </c>
      <c r="F9" s="8" t="n">
        <v>0.173</v>
      </c>
      <c r="G9" s="6" t="s">
        <v>151</v>
      </c>
      <c r="I9" s="9" t="n">
        <f aca="false">B9/(2*(1+D9))</f>
        <v>4076.92307692308</v>
      </c>
      <c r="J9" s="10" t="n">
        <f aca="false">IF(ISNUMBER(C9),(C9-I9)/I9,"n/a")</f>
        <v>1.8867924528362E-005</v>
      </c>
    </row>
    <row r="10" customFormat="false" ht="15" hidden="false" customHeight="false" outlineLevel="0" collapsed="false">
      <c r="A10" s="11" t="s">
        <v>156</v>
      </c>
      <c r="B10" s="12" t="n">
        <v>29000</v>
      </c>
      <c r="C10" s="12" t="n">
        <v>11154</v>
      </c>
      <c r="D10" s="13" t="n">
        <v>0.3</v>
      </c>
      <c r="E10" s="13" t="n">
        <v>0.65</v>
      </c>
      <c r="F10" s="13" t="n">
        <v>0.49</v>
      </c>
      <c r="G10" s="11" t="s">
        <v>151</v>
      </c>
      <c r="I10" s="9" t="n">
        <f aca="false">B10/(2*(1+D10))</f>
        <v>11153.8461538462</v>
      </c>
      <c r="J10" s="10" t="n">
        <f aca="false">IF(ISNUMBER(C10),(C10-I10)/I10,"n/a")</f>
        <v>1.37931034482382E-005</v>
      </c>
    </row>
    <row r="11" customFormat="false" ht="15" hidden="false" customHeight="false" outlineLevel="0" collapsed="false">
      <c r="A11" s="6" t="s">
        <v>157</v>
      </c>
      <c r="B11" s="7" t="n">
        <v>1000000</v>
      </c>
      <c r="C11" s="6"/>
      <c r="D11" s="8" t="n">
        <v>0.3</v>
      </c>
      <c r="E11" s="7" t="n">
        <v>0</v>
      </c>
      <c r="F11" s="7" t="n">
        <v>0</v>
      </c>
      <c r="G11" s="6" t="s">
        <v>151</v>
      </c>
      <c r="I11" s="9" t="n">
        <f aca="false">B11/(2*(1+D11))</f>
        <v>384615.384615385</v>
      </c>
      <c r="J11" s="10" t="str">
        <f aca="false">IF(ISNUMBER(C11),(C11-I11)/I11,"n/a")</f>
        <v>n/a</v>
      </c>
    </row>
    <row r="13" customFormat="false" ht="15" hidden="false" customHeight="false" outlineLevel="0" collapsed="false">
      <c r="A13" s="4" t="s">
        <v>158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  <col collapsed="false" customWidth="true" hidden="false" outlineLevel="0" max="4" min="3" style="0" width="11"/>
    <col collapsed="false" customWidth="true" hidden="false" outlineLevel="0" max="5" min="5" style="0" width="8"/>
    <col collapsed="false" customWidth="true" hidden="false" outlineLevel="0" max="6" min="6" style="0" width="25"/>
    <col collapsed="false" customWidth="true" hidden="false" outlineLevel="0" max="7" min="7" style="0" width="17"/>
    <col collapsed="false" customWidth="true" hidden="false" outlineLevel="0" max="8" min="8" style="0" width="25"/>
    <col collapsed="false" customWidth="true" hidden="false" outlineLevel="0" max="9" min="9" style="0" width="10"/>
  </cols>
  <sheetData>
    <row r="1" customFormat="false" ht="17.35" hidden="false" customHeight="false" outlineLevel="0" collapsed="false">
      <c r="A1" s="1" t="s">
        <v>159</v>
      </c>
    </row>
    <row r="2" customFormat="false" ht="15" hidden="false" customHeight="false" outlineLevel="0" collapsed="false">
      <c r="A2" s="4" t="s">
        <v>160</v>
      </c>
    </row>
    <row r="4" customFormat="false" ht="30" hidden="false" customHeight="true" outlineLevel="0" collapsed="false">
      <c r="A4" s="5" t="s">
        <v>161</v>
      </c>
      <c r="B4" s="5" t="s">
        <v>34</v>
      </c>
      <c r="C4" s="5" t="s">
        <v>35</v>
      </c>
      <c r="D4" s="5" t="s">
        <v>36</v>
      </c>
      <c r="E4" s="5" t="s">
        <v>37</v>
      </c>
      <c r="F4" s="5" t="s">
        <v>38</v>
      </c>
      <c r="G4" s="5" t="s">
        <v>39</v>
      </c>
      <c r="H4" s="5" t="s">
        <v>162</v>
      </c>
      <c r="I4" s="5" t="s">
        <v>42</v>
      </c>
    </row>
    <row r="5" customFormat="false" ht="15" hidden="false" customHeight="false" outlineLevel="0" collapsed="false">
      <c r="A5" s="6" t="s">
        <v>12</v>
      </c>
      <c r="B5" s="6" t="s">
        <v>46</v>
      </c>
      <c r="C5" s="7" t="n">
        <v>29000</v>
      </c>
      <c r="D5" s="7" t="n">
        <v>11154</v>
      </c>
      <c r="E5" s="8" t="n">
        <v>0.3</v>
      </c>
      <c r="F5" s="8" t="n">
        <v>0.65</v>
      </c>
      <c r="G5" s="8" t="n">
        <v>0.49</v>
      </c>
      <c r="H5" s="7" t="n">
        <v>36</v>
      </c>
      <c r="I5" s="7" t="n">
        <v>58</v>
      </c>
    </row>
    <row r="6" customFormat="false" ht="15" hidden="false" customHeight="false" outlineLevel="0" collapsed="false">
      <c r="A6" s="11" t="s">
        <v>12</v>
      </c>
      <c r="B6" s="11" t="s">
        <v>47</v>
      </c>
      <c r="C6" s="12" t="n">
        <v>29000</v>
      </c>
      <c r="D6" s="12" t="n">
        <v>11154</v>
      </c>
      <c r="E6" s="13" t="n">
        <v>0.3</v>
      </c>
      <c r="F6" s="13" t="n">
        <v>0.65</v>
      </c>
      <c r="G6" s="13" t="n">
        <v>0.49</v>
      </c>
      <c r="H6" s="12" t="n">
        <v>50</v>
      </c>
      <c r="I6" s="12" t="n">
        <v>58</v>
      </c>
    </row>
    <row r="7" customFormat="false" ht="15" hidden="false" customHeight="false" outlineLevel="0" collapsed="false">
      <c r="A7" s="6" t="s">
        <v>12</v>
      </c>
      <c r="B7" s="6" t="s">
        <v>48</v>
      </c>
      <c r="C7" s="7" t="n">
        <v>29000</v>
      </c>
      <c r="D7" s="7" t="n">
        <v>11154</v>
      </c>
      <c r="E7" s="8" t="n">
        <v>0.3</v>
      </c>
      <c r="F7" s="8" t="n">
        <v>0.65</v>
      </c>
      <c r="G7" s="8" t="n">
        <v>0.49</v>
      </c>
      <c r="H7" s="7" t="n">
        <v>50</v>
      </c>
      <c r="I7" s="7" t="n">
        <v>58</v>
      </c>
    </row>
    <row r="8" customFormat="false" ht="15" hidden="false" customHeight="false" outlineLevel="0" collapsed="false">
      <c r="A8" s="11" t="s">
        <v>12</v>
      </c>
      <c r="B8" s="11" t="s">
        <v>49</v>
      </c>
      <c r="C8" s="12" t="n">
        <v>29000</v>
      </c>
      <c r="D8" s="12" t="n">
        <v>11154</v>
      </c>
      <c r="E8" s="13" t="n">
        <v>0.3</v>
      </c>
      <c r="F8" s="13" t="n">
        <v>0.65</v>
      </c>
      <c r="G8" s="13" t="n">
        <v>0.49</v>
      </c>
      <c r="H8" s="12" t="n">
        <v>42</v>
      </c>
      <c r="I8" s="12" t="n">
        <v>58</v>
      </c>
    </row>
    <row r="9" customFormat="false" ht="15" hidden="false" customHeight="false" outlineLevel="0" collapsed="false">
      <c r="A9" s="6" t="s">
        <v>12</v>
      </c>
      <c r="B9" s="6" t="s">
        <v>50</v>
      </c>
      <c r="C9" s="7" t="n">
        <v>29000</v>
      </c>
      <c r="D9" s="7" t="n">
        <v>11154</v>
      </c>
      <c r="E9" s="8" t="n">
        <v>0.3</v>
      </c>
      <c r="F9" s="8" t="n">
        <v>0.65</v>
      </c>
      <c r="G9" s="8" t="n">
        <v>0.49</v>
      </c>
      <c r="H9" s="7" t="n">
        <v>46</v>
      </c>
      <c r="I9" s="7" t="n">
        <v>58</v>
      </c>
    </row>
    <row r="10" customFormat="false" ht="15" hidden="false" customHeight="false" outlineLevel="0" collapsed="false">
      <c r="A10" s="11" t="s">
        <v>14</v>
      </c>
      <c r="B10" s="11" t="s">
        <v>53</v>
      </c>
      <c r="C10" s="12" t="n">
        <v>29500</v>
      </c>
      <c r="D10" s="12" t="n">
        <v>11346</v>
      </c>
      <c r="E10" s="13" t="n">
        <v>0.3</v>
      </c>
      <c r="F10" s="13" t="n">
        <v>0.65</v>
      </c>
      <c r="G10" s="13" t="n">
        <v>0.49</v>
      </c>
      <c r="H10" s="12" t="n">
        <v>33</v>
      </c>
      <c r="I10" s="12" t="n">
        <v>52</v>
      </c>
    </row>
    <row r="11" customFormat="false" ht="15" hidden="false" customHeight="false" outlineLevel="0" collapsed="false">
      <c r="A11" s="6" t="s">
        <v>14</v>
      </c>
      <c r="B11" s="6" t="s">
        <v>54</v>
      </c>
      <c r="C11" s="7" t="n">
        <v>29500</v>
      </c>
      <c r="D11" s="7" t="n">
        <v>11346</v>
      </c>
      <c r="E11" s="8" t="n">
        <v>0.3</v>
      </c>
      <c r="F11" s="8" t="n">
        <v>0.65</v>
      </c>
      <c r="G11" s="8" t="n">
        <v>0.49</v>
      </c>
      <c r="H11" s="7" t="n">
        <v>55</v>
      </c>
      <c r="I11" s="7" t="n">
        <v>70</v>
      </c>
    </row>
    <row r="12" customFormat="false" ht="15" hidden="false" customHeight="false" outlineLevel="0" collapsed="false">
      <c r="A12" s="11" t="s">
        <v>16</v>
      </c>
      <c r="B12" s="11" t="s">
        <v>64</v>
      </c>
      <c r="C12" s="11"/>
      <c r="D12" s="11"/>
      <c r="E12" s="13" t="n">
        <v>0.3</v>
      </c>
      <c r="F12" s="13" t="n">
        <v>0.3</v>
      </c>
      <c r="G12" s="13" t="n">
        <v>0.035</v>
      </c>
      <c r="H12" s="11"/>
      <c r="I12" s="11"/>
    </row>
    <row r="13" customFormat="false" ht="15" hidden="false" customHeight="false" outlineLevel="0" collapsed="false">
      <c r="A13" s="6" t="s">
        <v>16</v>
      </c>
      <c r="B13" s="6" t="s">
        <v>70</v>
      </c>
      <c r="C13" s="6"/>
      <c r="D13" s="6"/>
      <c r="E13" s="8" t="n">
        <v>0.3</v>
      </c>
      <c r="F13" s="8" t="n">
        <v>0.3</v>
      </c>
      <c r="G13" s="8" t="n">
        <v>0.035</v>
      </c>
      <c r="H13" s="6"/>
      <c r="I13" s="6"/>
    </row>
    <row r="14" customFormat="false" ht="15" hidden="false" customHeight="false" outlineLevel="0" collapsed="false">
      <c r="A14" s="11" t="s">
        <v>16</v>
      </c>
      <c r="B14" s="11" t="s">
        <v>72</v>
      </c>
      <c r="C14" s="11"/>
      <c r="D14" s="11"/>
      <c r="E14" s="13" t="n">
        <v>0.3</v>
      </c>
      <c r="F14" s="13" t="n">
        <v>0.3</v>
      </c>
      <c r="G14" s="13" t="n">
        <v>0.035</v>
      </c>
      <c r="H14" s="11"/>
      <c r="I14" s="11"/>
    </row>
    <row r="15" customFormat="false" ht="15" hidden="false" customHeight="false" outlineLevel="0" collapsed="false">
      <c r="A15" s="6" t="s">
        <v>16</v>
      </c>
      <c r="B15" s="6" t="s">
        <v>74</v>
      </c>
      <c r="C15" s="6"/>
      <c r="D15" s="6"/>
      <c r="E15" s="8" t="n">
        <v>0.3</v>
      </c>
      <c r="F15" s="8" t="n">
        <v>0.3</v>
      </c>
      <c r="G15" s="8" t="n">
        <v>0.035</v>
      </c>
      <c r="H15" s="6"/>
      <c r="I15" s="6"/>
    </row>
    <row r="16" customFormat="false" ht="15" hidden="false" customHeight="false" outlineLevel="0" collapsed="false">
      <c r="A16" s="11" t="s">
        <v>16</v>
      </c>
      <c r="B16" s="11" t="s">
        <v>76</v>
      </c>
      <c r="C16" s="11"/>
      <c r="D16" s="11"/>
      <c r="E16" s="13" t="n">
        <v>0.3</v>
      </c>
      <c r="F16" s="13" t="n">
        <v>0.3</v>
      </c>
      <c r="G16" s="13" t="n">
        <v>0.035</v>
      </c>
      <c r="H16" s="11"/>
      <c r="I16" s="11"/>
    </row>
    <row r="17" customFormat="false" ht="15" hidden="false" customHeight="false" outlineLevel="0" collapsed="false">
      <c r="A17" s="6" t="s">
        <v>16</v>
      </c>
      <c r="B17" s="6" t="s">
        <v>78</v>
      </c>
      <c r="C17" s="6"/>
      <c r="D17" s="6"/>
      <c r="E17" s="8" t="n">
        <v>0.3</v>
      </c>
      <c r="F17" s="8" t="n">
        <v>0.3</v>
      </c>
      <c r="G17" s="8" t="n">
        <v>0.035</v>
      </c>
      <c r="H17" s="6"/>
      <c r="I17" s="6"/>
    </row>
    <row r="18" customFormat="false" ht="15" hidden="false" customHeight="false" outlineLevel="0" collapsed="false">
      <c r="A18" s="11" t="s">
        <v>16</v>
      </c>
      <c r="B18" s="11" t="s">
        <v>80</v>
      </c>
      <c r="C18" s="11"/>
      <c r="D18" s="11"/>
      <c r="E18" s="13" t="n">
        <v>0.3</v>
      </c>
      <c r="F18" s="13" t="n">
        <v>0.3</v>
      </c>
      <c r="G18" s="13" t="n">
        <v>0.035</v>
      </c>
      <c r="H18" s="11"/>
      <c r="I18" s="11"/>
    </row>
    <row r="19" customFormat="false" ht="15" hidden="false" customHeight="false" outlineLevel="0" collapsed="false">
      <c r="A19" s="6" t="s">
        <v>16</v>
      </c>
      <c r="B19" s="6" t="s">
        <v>85</v>
      </c>
      <c r="C19" s="6"/>
      <c r="D19" s="6"/>
      <c r="E19" s="8" t="n">
        <v>0.3</v>
      </c>
      <c r="F19" s="8" t="n">
        <v>0.3</v>
      </c>
      <c r="G19" s="8" t="n">
        <v>0.035</v>
      </c>
      <c r="H19" s="6"/>
      <c r="I19" s="6"/>
    </row>
    <row r="20" customFormat="false" ht="15" hidden="false" customHeight="false" outlineLevel="0" collapsed="false">
      <c r="A20" s="11" t="s">
        <v>16</v>
      </c>
      <c r="B20" s="11" t="s">
        <v>87</v>
      </c>
      <c r="C20" s="11"/>
      <c r="D20" s="11"/>
      <c r="E20" s="13" t="n">
        <v>0.3</v>
      </c>
      <c r="F20" s="13" t="n">
        <v>0.3</v>
      </c>
      <c r="G20" s="13" t="n">
        <v>0.035</v>
      </c>
      <c r="H20" s="11"/>
      <c r="I20" s="11"/>
    </row>
    <row r="21" customFormat="false" ht="15" hidden="false" customHeight="false" outlineLevel="0" collapsed="false">
      <c r="A21" s="6" t="s">
        <v>16</v>
      </c>
      <c r="B21" s="6" t="s">
        <v>89</v>
      </c>
      <c r="C21" s="6"/>
      <c r="D21" s="6"/>
      <c r="E21" s="8" t="n">
        <v>0.3</v>
      </c>
      <c r="F21" s="8" t="n">
        <v>0.3</v>
      </c>
      <c r="G21" s="8" t="n">
        <v>0.035</v>
      </c>
      <c r="H21" s="6"/>
      <c r="I21" s="6"/>
    </row>
    <row r="22" customFormat="false" ht="15" hidden="false" customHeight="false" outlineLevel="0" collapsed="false">
      <c r="A22" s="11" t="s">
        <v>16</v>
      </c>
      <c r="B22" s="11" t="s">
        <v>91</v>
      </c>
      <c r="C22" s="11"/>
      <c r="D22" s="11"/>
      <c r="E22" s="13" t="n">
        <v>0.3</v>
      </c>
      <c r="F22" s="13" t="n">
        <v>0.3</v>
      </c>
      <c r="G22" s="13" t="n">
        <v>0.035</v>
      </c>
      <c r="H22" s="11"/>
      <c r="I22" s="11"/>
    </row>
    <row r="23" customFormat="false" ht="15" hidden="false" customHeight="false" outlineLevel="0" collapsed="false">
      <c r="A23" s="6" t="s">
        <v>16</v>
      </c>
      <c r="B23" s="6" t="s">
        <v>95</v>
      </c>
      <c r="C23" s="6"/>
      <c r="D23" s="6"/>
      <c r="E23" s="8" t="n">
        <v>0.3</v>
      </c>
      <c r="F23" s="8" t="n">
        <v>0.3</v>
      </c>
      <c r="G23" s="8" t="n">
        <v>0.035</v>
      </c>
      <c r="H23" s="6"/>
      <c r="I23" s="6"/>
    </row>
    <row r="24" customFormat="false" ht="15" hidden="false" customHeight="false" outlineLevel="0" collapsed="false">
      <c r="A24" s="11" t="s">
        <v>18</v>
      </c>
      <c r="B24" s="11" t="s">
        <v>104</v>
      </c>
      <c r="C24" s="12" t="n">
        <v>3156</v>
      </c>
      <c r="D24" s="12" t="n">
        <v>1372</v>
      </c>
      <c r="E24" s="13" t="n">
        <v>0.15</v>
      </c>
      <c r="F24" s="13" t="n">
        <v>0.6</v>
      </c>
      <c r="G24" s="13" t="n">
        <v>0.145</v>
      </c>
      <c r="H24" s="12" t="n">
        <v>3</v>
      </c>
      <c r="I24" s="11"/>
    </row>
    <row r="25" customFormat="false" ht="15" hidden="false" customHeight="false" outlineLevel="0" collapsed="false">
      <c r="A25" s="6" t="s">
        <v>18</v>
      </c>
      <c r="B25" s="6" t="s">
        <v>105</v>
      </c>
      <c r="C25" s="7" t="n">
        <v>3409</v>
      </c>
      <c r="D25" s="7" t="n">
        <v>1482</v>
      </c>
      <c r="E25" s="8" t="n">
        <v>0.15</v>
      </c>
      <c r="F25" s="8" t="n">
        <v>0.6</v>
      </c>
      <c r="G25" s="8" t="n">
        <v>0.145</v>
      </c>
      <c r="H25" s="8" t="n">
        <v>3.5</v>
      </c>
      <c r="I25" s="6"/>
    </row>
    <row r="26" customFormat="false" ht="15" hidden="false" customHeight="false" outlineLevel="0" collapsed="false">
      <c r="A26" s="11" t="s">
        <v>18</v>
      </c>
      <c r="B26" s="11" t="s">
        <v>106</v>
      </c>
      <c r="C26" s="12" t="n">
        <v>3644</v>
      </c>
      <c r="D26" s="12" t="n">
        <v>1584</v>
      </c>
      <c r="E26" s="13" t="n">
        <v>0.15</v>
      </c>
      <c r="F26" s="13" t="n">
        <v>0.6</v>
      </c>
      <c r="G26" s="13" t="n">
        <v>0.145</v>
      </c>
      <c r="H26" s="12" t="n">
        <v>4</v>
      </c>
      <c r="I26" s="11"/>
    </row>
    <row r="27" customFormat="false" ht="15" hidden="false" customHeight="false" outlineLevel="0" collapsed="false">
      <c r="A27" s="6" t="s">
        <v>18</v>
      </c>
      <c r="B27" s="6" t="s">
        <v>107</v>
      </c>
      <c r="C27" s="7" t="n">
        <v>2085</v>
      </c>
      <c r="D27" s="7" t="n">
        <v>907</v>
      </c>
      <c r="E27" s="8" t="n">
        <v>0.15</v>
      </c>
      <c r="F27" s="8" t="n">
        <v>0.6</v>
      </c>
      <c r="G27" s="8" t="n">
        <v>0.11</v>
      </c>
      <c r="H27" s="7" t="n">
        <v>3</v>
      </c>
      <c r="I27" s="6"/>
    </row>
    <row r="28" customFormat="false" ht="15" hidden="false" customHeight="false" outlineLevel="0" collapsed="false">
      <c r="A28" s="11" t="s">
        <v>18</v>
      </c>
      <c r="B28" s="11" t="s">
        <v>108</v>
      </c>
      <c r="C28" s="12" t="n">
        <v>2252</v>
      </c>
      <c r="D28" s="12" t="n">
        <v>979</v>
      </c>
      <c r="E28" s="13" t="n">
        <v>0.15</v>
      </c>
      <c r="F28" s="13" t="n">
        <v>0.6</v>
      </c>
      <c r="G28" s="13" t="n">
        <v>0.11</v>
      </c>
      <c r="H28" s="13" t="n">
        <v>3.5</v>
      </c>
      <c r="I28" s="11"/>
    </row>
    <row r="29" customFormat="false" ht="15" hidden="false" customHeight="false" outlineLevel="0" collapsed="false">
      <c r="A29" s="6" t="s">
        <v>18</v>
      </c>
      <c r="B29" s="6" t="s">
        <v>109</v>
      </c>
      <c r="C29" s="7" t="n">
        <v>2408</v>
      </c>
      <c r="D29" s="7" t="n">
        <v>1047</v>
      </c>
      <c r="E29" s="8" t="n">
        <v>0.15</v>
      </c>
      <c r="F29" s="8" t="n">
        <v>0.6</v>
      </c>
      <c r="G29" s="8" t="n">
        <v>0.11</v>
      </c>
      <c r="H29" s="7" t="n">
        <v>4</v>
      </c>
      <c r="I29" s="6"/>
    </row>
    <row r="30" customFormat="false" ht="15" hidden="false" customHeight="false" outlineLevel="0" collapsed="false">
      <c r="A30" s="11" t="s">
        <v>20</v>
      </c>
      <c r="B30" s="11" t="s">
        <v>114</v>
      </c>
      <c r="C30" s="12" t="n">
        <v>1350</v>
      </c>
      <c r="D30" s="12" t="n">
        <v>540</v>
      </c>
      <c r="E30" s="13" t="n">
        <v>0.25</v>
      </c>
      <c r="F30" s="13" t="n">
        <v>0.6</v>
      </c>
      <c r="G30" s="11" t="s">
        <v>92</v>
      </c>
      <c r="H30" s="13" t="n">
        <v>1.5</v>
      </c>
      <c r="I30" s="11"/>
    </row>
    <row r="31" customFormat="false" ht="15" hidden="false" customHeight="false" outlineLevel="0" collapsed="false">
      <c r="A31" s="6" t="s">
        <v>20</v>
      </c>
      <c r="B31" s="6" t="s">
        <v>115</v>
      </c>
      <c r="C31" s="7" t="n">
        <v>1050</v>
      </c>
      <c r="D31" s="7" t="n">
        <v>420</v>
      </c>
      <c r="E31" s="8" t="n">
        <v>0.25</v>
      </c>
      <c r="F31" s="8" t="n">
        <v>0.6</v>
      </c>
      <c r="G31" s="6" t="s">
        <v>92</v>
      </c>
      <c r="H31" s="8" t="n">
        <v>1.5</v>
      </c>
      <c r="I31" s="6"/>
    </row>
    <row r="32" customFormat="false" ht="15" hidden="false" customHeight="false" outlineLevel="0" collapsed="false">
      <c r="A32" s="11" t="s">
        <v>22</v>
      </c>
      <c r="B32" s="11" t="s">
        <v>133</v>
      </c>
      <c r="C32" s="12" t="n">
        <v>10100</v>
      </c>
      <c r="D32" s="12" t="n">
        <v>3787.5</v>
      </c>
      <c r="E32" s="13" t="n">
        <v>0.33</v>
      </c>
      <c r="F32" s="13" t="n">
        <v>1.3</v>
      </c>
      <c r="G32" s="13" t="n">
        <v>0.173</v>
      </c>
      <c r="H32" s="12" t="n">
        <v>16</v>
      </c>
      <c r="I32" s="12" t="n">
        <v>19</v>
      </c>
    </row>
    <row r="33" customFormat="false" ht="15" hidden="false" customHeight="false" outlineLevel="0" collapsed="false">
      <c r="A33" s="6" t="s">
        <v>22</v>
      </c>
      <c r="B33" s="6" t="s">
        <v>135</v>
      </c>
      <c r="C33" s="7" t="n">
        <v>10100</v>
      </c>
      <c r="D33" s="7" t="n">
        <v>3787.5</v>
      </c>
      <c r="E33" s="8" t="n">
        <v>0.33</v>
      </c>
      <c r="F33" s="8" t="n">
        <v>1.3</v>
      </c>
      <c r="G33" s="8" t="n">
        <v>0.173</v>
      </c>
      <c r="H33" s="7" t="n">
        <v>35</v>
      </c>
      <c r="I33" s="7" t="n">
        <v>38</v>
      </c>
    </row>
    <row r="34" customFormat="false" ht="15" hidden="false" customHeight="false" outlineLevel="0" collapsed="false">
      <c r="A34" s="11" t="s">
        <v>22</v>
      </c>
      <c r="B34" s="11" t="s">
        <v>137</v>
      </c>
      <c r="C34" s="12" t="n">
        <v>10100</v>
      </c>
      <c r="D34" s="12" t="n">
        <v>3787.5</v>
      </c>
      <c r="E34" s="13" t="n">
        <v>0.33</v>
      </c>
      <c r="F34" s="13" t="n">
        <v>1.3</v>
      </c>
      <c r="G34" s="13" t="n">
        <v>0.173</v>
      </c>
      <c r="H34" s="12" t="n">
        <v>16</v>
      </c>
      <c r="I34" s="12" t="n">
        <v>22</v>
      </c>
    </row>
    <row r="35" customFormat="false" ht="15" hidden="false" customHeight="false" outlineLevel="0" collapsed="false">
      <c r="A35" s="6" t="s">
        <v>22</v>
      </c>
      <c r="B35" s="6" t="s">
        <v>138</v>
      </c>
      <c r="C35" s="7" t="n">
        <v>10100</v>
      </c>
      <c r="D35" s="7" t="n">
        <v>3787.5</v>
      </c>
      <c r="E35" s="8" t="n">
        <v>0.33</v>
      </c>
      <c r="F35" s="8" t="n">
        <v>1.3</v>
      </c>
      <c r="G35" s="8" t="n">
        <v>0.173</v>
      </c>
      <c r="H35" s="7" t="n">
        <v>25</v>
      </c>
      <c r="I35" s="7" t="n">
        <v>30</v>
      </c>
    </row>
    <row r="36" customFormat="false" ht="15" hidden="false" customHeight="false" outlineLevel="0" collapsed="false">
      <c r="A36" s="11" t="s">
        <v>22</v>
      </c>
      <c r="B36" s="11" t="s">
        <v>139</v>
      </c>
      <c r="C36" s="12" t="n">
        <v>10200</v>
      </c>
      <c r="D36" s="12" t="n">
        <v>3787.5</v>
      </c>
      <c r="E36" s="13" t="n">
        <v>0.33</v>
      </c>
      <c r="F36" s="13" t="n">
        <v>1.3</v>
      </c>
      <c r="G36" s="13" t="n">
        <v>0.173</v>
      </c>
      <c r="H36" s="12" t="n">
        <v>26</v>
      </c>
      <c r="I36" s="12" t="n">
        <v>34</v>
      </c>
    </row>
    <row r="37" customFormat="false" ht="15" hidden="false" customHeight="false" outlineLevel="0" collapsed="false">
      <c r="A37" s="6" t="s">
        <v>22</v>
      </c>
      <c r="B37" s="6" t="s">
        <v>140</v>
      </c>
      <c r="C37" s="7" t="n">
        <v>10100</v>
      </c>
      <c r="D37" s="7" t="n">
        <v>3787.5</v>
      </c>
      <c r="E37" s="8" t="n">
        <v>0.33</v>
      </c>
      <c r="F37" s="8" t="n">
        <v>1.3</v>
      </c>
      <c r="G37" s="8" t="n">
        <v>0.173</v>
      </c>
      <c r="H37" s="7" t="n">
        <v>15</v>
      </c>
      <c r="I37" s="7" t="n">
        <v>24</v>
      </c>
    </row>
    <row r="38" customFormat="false" ht="15" hidden="false" customHeight="false" outlineLevel="0" collapsed="false">
      <c r="A38" s="11" t="s">
        <v>24</v>
      </c>
      <c r="B38" s="11" t="s">
        <v>145</v>
      </c>
      <c r="C38" s="12" t="n">
        <v>193100</v>
      </c>
      <c r="D38" s="12" t="n">
        <v>74325.484</v>
      </c>
      <c r="E38" s="13" t="n">
        <v>0.3</v>
      </c>
      <c r="F38" s="13" t="n">
        <v>1.674</v>
      </c>
      <c r="G38" s="13" t="n">
        <v>8.009</v>
      </c>
      <c r="H38" s="16" t="n">
        <v>206.843</v>
      </c>
      <c r="I38" s="16" t="n">
        <v>517.107</v>
      </c>
    </row>
    <row r="39" customFormat="false" ht="15" hidden="false" customHeight="false" outlineLevel="0" collapsed="false">
      <c r="A39" s="6" t="s">
        <v>26</v>
      </c>
      <c r="B39" s="6" t="s">
        <v>150</v>
      </c>
      <c r="C39" s="7" t="n">
        <v>3155</v>
      </c>
      <c r="D39" s="7" t="n">
        <v>1372</v>
      </c>
      <c r="E39" s="8" t="n">
        <v>0.15</v>
      </c>
      <c r="F39" s="8" t="n">
        <v>0.6</v>
      </c>
      <c r="G39" s="8" t="n">
        <v>0.145</v>
      </c>
      <c r="H39" s="6"/>
      <c r="I39" s="6"/>
    </row>
    <row r="40" customFormat="false" ht="15" hidden="false" customHeight="false" outlineLevel="0" collapsed="false">
      <c r="A40" s="11" t="s">
        <v>26</v>
      </c>
      <c r="B40" s="11" t="s">
        <v>152</v>
      </c>
      <c r="C40" s="12" t="n">
        <v>3644</v>
      </c>
      <c r="D40" s="12" t="n">
        <v>1584</v>
      </c>
      <c r="E40" s="13" t="n">
        <v>0.15</v>
      </c>
      <c r="F40" s="13" t="n">
        <v>0.6</v>
      </c>
      <c r="G40" s="13" t="n">
        <v>0.145</v>
      </c>
      <c r="H40" s="11"/>
      <c r="I40" s="11"/>
    </row>
    <row r="41" customFormat="false" ht="15" hidden="false" customHeight="false" outlineLevel="0" collapsed="false">
      <c r="A41" s="6" t="s">
        <v>26</v>
      </c>
      <c r="B41" s="6" t="s">
        <v>153</v>
      </c>
      <c r="C41" s="7" t="n">
        <v>2085</v>
      </c>
      <c r="D41" s="7" t="n">
        <v>906</v>
      </c>
      <c r="E41" s="8" t="n">
        <v>0.15</v>
      </c>
      <c r="F41" s="8" t="n">
        <v>0.6</v>
      </c>
      <c r="G41" s="8" t="n">
        <v>0.11</v>
      </c>
      <c r="H41" s="6"/>
      <c r="I41" s="6"/>
    </row>
    <row r="42" customFormat="false" ht="15" hidden="false" customHeight="false" outlineLevel="0" collapsed="false">
      <c r="A42" s="11" t="s">
        <v>26</v>
      </c>
      <c r="B42" s="11" t="s">
        <v>154</v>
      </c>
      <c r="C42" s="12" t="n">
        <v>2408</v>
      </c>
      <c r="D42" s="12" t="n">
        <v>1047</v>
      </c>
      <c r="E42" s="13" t="n">
        <v>0.15</v>
      </c>
      <c r="F42" s="13" t="n">
        <v>0.6</v>
      </c>
      <c r="G42" s="13" t="n">
        <v>0.11</v>
      </c>
      <c r="H42" s="11"/>
      <c r="I42" s="11"/>
    </row>
    <row r="43" customFormat="false" ht="15" hidden="false" customHeight="false" outlineLevel="0" collapsed="false">
      <c r="A43" s="6" t="s">
        <v>26</v>
      </c>
      <c r="B43" s="6" t="s">
        <v>155</v>
      </c>
      <c r="C43" s="7" t="n">
        <v>10600</v>
      </c>
      <c r="D43" s="7" t="n">
        <v>4077</v>
      </c>
      <c r="E43" s="8" t="n">
        <v>0.3</v>
      </c>
      <c r="F43" s="8" t="n">
        <v>1.29</v>
      </c>
      <c r="G43" s="8" t="n">
        <v>0.173</v>
      </c>
      <c r="H43" s="6"/>
      <c r="I43" s="6"/>
    </row>
    <row r="44" customFormat="false" ht="15" hidden="false" customHeight="false" outlineLevel="0" collapsed="false">
      <c r="A44" s="11" t="s">
        <v>26</v>
      </c>
      <c r="B44" s="11" t="s">
        <v>156</v>
      </c>
      <c r="C44" s="12" t="n">
        <v>29000</v>
      </c>
      <c r="D44" s="12" t="n">
        <v>11154</v>
      </c>
      <c r="E44" s="13" t="n">
        <v>0.3</v>
      </c>
      <c r="F44" s="13" t="n">
        <v>0.65</v>
      </c>
      <c r="G44" s="13" t="n">
        <v>0.49</v>
      </c>
      <c r="H44" s="11"/>
      <c r="I44" s="11"/>
    </row>
    <row r="45" customFormat="false" ht="15" hidden="false" customHeight="false" outlineLevel="0" collapsed="false">
      <c r="A45" s="6" t="s">
        <v>26</v>
      </c>
      <c r="B45" s="6" t="s">
        <v>157</v>
      </c>
      <c r="C45" s="7" t="n">
        <v>1000000</v>
      </c>
      <c r="D45" s="6"/>
      <c r="E45" s="8" t="n">
        <v>0.3</v>
      </c>
      <c r="F45" s="7" t="n">
        <v>0</v>
      </c>
      <c r="G45" s="7" t="n">
        <v>0</v>
      </c>
      <c r="H45" s="6"/>
      <c r="I45" s="6"/>
    </row>
    <row r="47" customFormat="false" ht="15" hidden="false" customHeight="false" outlineLevel="0" collapsed="false">
      <c r="A47" s="3" t="s">
        <v>163</v>
      </c>
      <c r="B47" s="2" t="n">
        <f aca="false">COUNTA(B5:B45)</f>
        <v>41</v>
      </c>
    </row>
    <row r="48" customFormat="false" ht="15" hidden="false" customHeight="false" outlineLevel="0" collapsed="false">
      <c r="A48" s="4" t="s">
        <v>164</v>
      </c>
    </row>
  </sheetData>
  <autoFilter ref="A4:I4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165</v>
      </c>
    </row>
    <row r="3" customFormat="false" ht="30" hidden="false" customHeight="true" outlineLevel="0" collapsed="false">
      <c r="A3" s="5" t="s">
        <v>166</v>
      </c>
      <c r="B3" s="5" t="s">
        <v>167</v>
      </c>
    </row>
    <row r="4" customFormat="false" ht="15" hidden="false" customHeight="false" outlineLevel="0" collapsed="false">
      <c r="A4" s="17" t="s">
        <v>34</v>
      </c>
      <c r="B4" s="17" t="s">
        <v>168</v>
      </c>
    </row>
    <row r="5" customFormat="false" ht="15" hidden="false" customHeight="false" outlineLevel="0" collapsed="false">
      <c r="A5" s="18" t="s">
        <v>35</v>
      </c>
      <c r="B5" s="18" t="s">
        <v>169</v>
      </c>
    </row>
    <row r="6" customFormat="false" ht="15" hidden="false" customHeight="false" outlineLevel="0" collapsed="false">
      <c r="A6" s="17" t="s">
        <v>36</v>
      </c>
      <c r="B6" s="17" t="s">
        <v>170</v>
      </c>
    </row>
    <row r="7" customFormat="false" ht="15" hidden="false" customHeight="false" outlineLevel="0" collapsed="false">
      <c r="A7" s="18" t="s">
        <v>37</v>
      </c>
      <c r="B7" s="18" t="s">
        <v>171</v>
      </c>
    </row>
    <row r="8" customFormat="false" ht="15" hidden="false" customHeight="false" outlineLevel="0" collapsed="false">
      <c r="A8" s="17" t="s">
        <v>38</v>
      </c>
      <c r="B8" s="17" t="s">
        <v>172</v>
      </c>
    </row>
    <row r="9" customFormat="false" ht="15" hidden="false" customHeight="false" outlineLevel="0" collapsed="false">
      <c r="A9" s="18" t="s">
        <v>39</v>
      </c>
      <c r="B9" s="18" t="s">
        <v>173</v>
      </c>
    </row>
    <row r="10" customFormat="false" ht="15" hidden="false" customHeight="false" outlineLevel="0" collapsed="false">
      <c r="A10" s="17" t="s">
        <v>174</v>
      </c>
      <c r="B10" s="17" t="s">
        <v>175</v>
      </c>
    </row>
    <row r="11" customFormat="false" ht="15" hidden="false" customHeight="false" outlineLevel="0" collapsed="false">
      <c r="A11" s="18" t="s">
        <v>42</v>
      </c>
      <c r="B11" s="18" t="s">
        <v>176</v>
      </c>
    </row>
    <row r="12" customFormat="false" ht="15" hidden="false" customHeight="false" outlineLevel="0" collapsed="false">
      <c r="A12" s="17" t="s">
        <v>177</v>
      </c>
      <c r="B12" s="17" t="s">
        <v>178</v>
      </c>
    </row>
    <row r="13" customFormat="false" ht="15" hidden="false" customHeight="false" outlineLevel="0" collapsed="false">
      <c r="A13" s="18" t="s">
        <v>100</v>
      </c>
      <c r="B13" s="18" t="s">
        <v>179</v>
      </c>
    </row>
    <row r="14" customFormat="false" ht="15" hidden="false" customHeight="false" outlineLevel="0" collapsed="false">
      <c r="A14" s="17" t="s">
        <v>101</v>
      </c>
      <c r="B14" s="17" t="s">
        <v>180</v>
      </c>
    </row>
    <row r="15" customFormat="false" ht="15" hidden="false" customHeight="false" outlineLevel="0" collapsed="false">
      <c r="A15" s="18" t="s">
        <v>181</v>
      </c>
      <c r="B15" s="18" t="s">
        <v>182</v>
      </c>
    </row>
    <row r="16" customFormat="false" ht="15" hidden="false" customHeight="false" outlineLevel="0" collapsed="false">
      <c r="A16" s="17" t="s">
        <v>113</v>
      </c>
      <c r="B16" s="17" t="s">
        <v>183</v>
      </c>
    </row>
    <row r="17" customFormat="false" ht="15" hidden="false" customHeight="false" outlineLevel="0" collapsed="false">
      <c r="A17" s="18" t="s">
        <v>184</v>
      </c>
      <c r="B17" s="18" t="s">
        <v>185</v>
      </c>
    </row>
    <row r="18" customFormat="false" ht="15" hidden="false" customHeight="false" outlineLevel="0" collapsed="false">
      <c r="A18" s="17" t="s">
        <v>186</v>
      </c>
      <c r="B18" s="17" t="s">
        <v>187</v>
      </c>
    </row>
    <row r="19" customFormat="false" ht="15" hidden="false" customHeight="false" outlineLevel="0" collapsed="false">
      <c r="A19" s="18" t="s">
        <v>188</v>
      </c>
      <c r="B19" s="18" t="s">
        <v>189</v>
      </c>
    </row>
    <row r="20" customFormat="false" ht="15" hidden="false" customHeight="false" outlineLevel="0" collapsed="false">
      <c r="A20" s="17" t="s">
        <v>190</v>
      </c>
      <c r="B20" s="17" t="s">
        <v>191</v>
      </c>
    </row>
    <row r="21" customFormat="false" ht="15" hidden="false" customHeight="false" outlineLevel="0" collapsed="false">
      <c r="A21" s="18" t="s">
        <v>192</v>
      </c>
      <c r="B21" s="18" t="s">
        <v>193</v>
      </c>
    </row>
    <row r="22" customFormat="false" ht="15" hidden="false" customHeight="false" outlineLevel="0" collapsed="false">
      <c r="A22" s="17" t="s">
        <v>194</v>
      </c>
      <c r="B22" s="17" t="s">
        <v>195</v>
      </c>
    </row>
    <row r="23" customFormat="false" ht="15" hidden="false" customHeight="false" outlineLevel="0" collapsed="false">
      <c r="A23" s="18" t="s">
        <v>196</v>
      </c>
      <c r="B23" s="18" t="s">
        <v>197</v>
      </c>
    </row>
    <row r="24" customFormat="false" ht="15" hidden="false" customHeight="false" outlineLevel="0" collapsed="false">
      <c r="A24" s="17" t="s">
        <v>149</v>
      </c>
      <c r="B24" s="17" t="s">
        <v>198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2026-09-08T02:04:28Z</dcterms:created>
  <dc:creator>openpyxl</dc:creator>
  <dc:description/>
  <dc:language>en-US</dc:language>
  <cp:lastModifiedBy/>
  <dcterms:modified xsi:type="dcterms:W3CDTF">2026-09-08T02:04:28Z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