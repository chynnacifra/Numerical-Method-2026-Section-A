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ka\OneDrive\Desktop\Numerical Method\03 Lab Sessions\Lab 03 - Seires Part 1\Python Solver - Rev.2\Units\"/>
    </mc:Choice>
  </mc:AlternateContent>
  <xr:revisionPtr revIDLastSave="0" documentId="13_ncr:1_{C68BF184-783F-4667-9666-AF72EF8812E4}" xr6:coauthVersionLast="47" xr6:coauthVersionMax="47" xr10:uidLastSave="{00000000-0000-0000-0000-000000000000}"/>
  <bookViews>
    <workbookView xWindow="-110" yWindow="-110" windowWidth="24220" windowHeight="15500" tabRatio="500" activeTab="1" xr2:uid="{00000000-000D-0000-FFFF-FFFF00000000}"/>
  </bookViews>
  <sheets>
    <sheet name="Conversion Factors" sheetId="2" r:id="rId1"/>
    <sheet name="Unit Systems" sheetId="3" r:id="rId2"/>
    <sheet name="Converter" sheetId="6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6" l="1"/>
  <c r="D16" i="6"/>
  <c r="D14" i="6"/>
  <c r="D13" i="6"/>
  <c r="D12" i="6"/>
  <c r="J9" i="6"/>
  <c r="D9" i="6"/>
  <c r="J8" i="6"/>
  <c r="D8" i="6"/>
  <c r="J7" i="6"/>
  <c r="D7" i="6"/>
  <c r="D30" i="2"/>
  <c r="E30" i="2" s="1"/>
  <c r="D29" i="2"/>
  <c r="E28" i="2"/>
  <c r="D28" i="2"/>
  <c r="D27" i="2"/>
  <c r="E27" i="2" s="1"/>
  <c r="D26" i="2"/>
  <c r="E25" i="2"/>
  <c r="D25" i="2"/>
  <c r="J13" i="6" s="1"/>
  <c r="D24" i="2"/>
  <c r="E24" i="2" s="1"/>
  <c r="D23" i="2"/>
  <c r="E23" i="2" s="1"/>
  <c r="D22" i="2"/>
  <c r="E22" i="2" s="1"/>
  <c r="D21" i="2"/>
  <c r="D20" i="2"/>
  <c r="E20" i="2" s="1"/>
  <c r="D19" i="2"/>
  <c r="E18" i="2"/>
  <c r="D18" i="2"/>
  <c r="D17" i="2"/>
  <c r="E17" i="2" s="1"/>
  <c r="D16" i="2"/>
  <c r="E16" i="2" s="1"/>
  <c r="E15" i="2"/>
  <c r="D15" i="2"/>
  <c r="D14" i="2"/>
  <c r="E14" i="2" s="1"/>
  <c r="D13" i="2"/>
  <c r="J5" i="6" s="1"/>
  <c r="D12" i="2"/>
  <c r="J6" i="6" s="1"/>
  <c r="J15" i="6" l="1"/>
  <c r="D15" i="6"/>
  <c r="E29" i="2"/>
  <c r="J10" i="6"/>
  <c r="D10" i="6"/>
  <c r="E19" i="2"/>
  <c r="E21" i="2"/>
  <c r="J11" i="6"/>
  <c r="D11" i="6"/>
  <c r="E12" i="2"/>
  <c r="E13" i="2"/>
  <c r="J12" i="6"/>
  <c r="J14" i="6"/>
  <c r="E26" i="2"/>
  <c r="D5" i="6"/>
  <c r="D6" i="6"/>
</calcChain>
</file>

<file path=xl/sharedStrings.xml><?xml version="1.0" encoding="utf-8"?>
<sst xmlns="http://schemas.openxmlformats.org/spreadsheetml/2006/main" count="268" uniqueCount="137">
  <si>
    <t>Conversion factors, derived from exact definitions</t>
  </si>
  <si>
    <t>Base definitions (exact, NIST SP 811)</t>
  </si>
  <si>
    <t>1 inch in millimetres</t>
  </si>
  <si>
    <t>mm</t>
  </si>
  <si>
    <t>Edit only if a definition changes (it will not).</t>
  </si>
  <si>
    <t>1 pound-force in newtons</t>
  </si>
  <si>
    <t>N</t>
  </si>
  <si>
    <t>Standard gravity</t>
  </si>
  <si>
    <t>m/s²</t>
  </si>
  <si>
    <t>Kip = 1000 lbf</t>
  </si>
  <si>
    <t>lbf</t>
  </si>
  <si>
    <t>Foot = 12 inches</t>
  </si>
  <si>
    <t>in</t>
  </si>
  <si>
    <t>Derived factors (all formulas)</t>
  </si>
  <si>
    <t>Quantity</t>
  </si>
  <si>
    <t>Imperial unit</t>
  </si>
  <si>
    <t>Metric unit</t>
  </si>
  <si>
    <t>Multiply Imperial by</t>
  </si>
  <si>
    <t>Metric to Imperial (reciprocal)</t>
  </si>
  <si>
    <t>Derivation</t>
  </si>
  <si>
    <t>Length</t>
  </si>
  <si>
    <t>1 in = 25.4 mm</t>
  </si>
  <si>
    <t>ft</t>
  </si>
  <si>
    <t>m</t>
  </si>
  <si>
    <t>12 × 25.4 / 1000</t>
  </si>
  <si>
    <t>Area</t>
  </si>
  <si>
    <t>in²</t>
  </si>
  <si>
    <t>mm²</t>
  </si>
  <si>
    <t>25.4²</t>
  </si>
  <si>
    <t>Moment of inertia</t>
  </si>
  <si>
    <t>in⁴</t>
  </si>
  <si>
    <t>mm⁴</t>
  </si>
  <si>
    <t>25.4⁴</t>
  </si>
  <si>
    <t>Section modulus</t>
  </si>
  <si>
    <t>in³</t>
  </si>
  <si>
    <t>mm³</t>
  </si>
  <si>
    <t>25.4³</t>
  </si>
  <si>
    <t>Force</t>
  </si>
  <si>
    <t>kip</t>
  </si>
  <si>
    <t>kN</t>
  </si>
  <si>
    <t>4.448222 N × 1000 / 1000</t>
  </si>
  <si>
    <t>definition</t>
  </si>
  <si>
    <t>Moment</t>
  </si>
  <si>
    <t>kip·ft</t>
  </si>
  <si>
    <t>kN·m</t>
  </si>
  <si>
    <t>kN × m</t>
  </si>
  <si>
    <t>kip·in</t>
  </si>
  <si>
    <t>Stress / modulus</t>
  </si>
  <si>
    <t>ksi</t>
  </si>
  <si>
    <t>MPa</t>
  </si>
  <si>
    <t>kN / mm² × 1000 = N/mm²</t>
  </si>
  <si>
    <t>psi</t>
  </si>
  <si>
    <t>kPa</t>
  </si>
  <si>
    <t>N/mm² × 1000</t>
  </si>
  <si>
    <t>GPa</t>
  </si>
  <si>
    <t>MPa / 1000</t>
  </si>
  <si>
    <t>Distributed load</t>
  </si>
  <si>
    <t>kip/ft</t>
  </si>
  <si>
    <t>kN/m</t>
  </si>
  <si>
    <t>kN / m</t>
  </si>
  <si>
    <t>Area load</t>
  </si>
  <si>
    <t>psf</t>
  </si>
  <si>
    <t>N/m² / 1000</t>
  </si>
  <si>
    <t>Unit weight</t>
  </si>
  <si>
    <t>k/ft³</t>
  </si>
  <si>
    <t>kN/m³</t>
  </si>
  <si>
    <t>kN / m³</t>
  </si>
  <si>
    <t>pcf</t>
  </si>
  <si>
    <t>N/m³ / 1000</t>
  </si>
  <si>
    <t>Mass density from unit weight</t>
  </si>
  <si>
    <t>kg/m³</t>
  </si>
  <si>
    <t>N/m³ ÷ g</t>
  </si>
  <si>
    <t>Thermal coefficient</t>
  </si>
  <si>
    <t>1e-5 /°F</t>
  </si>
  <si>
    <t>1e-6 /°C</t>
  </si>
  <si>
    <t>per °F × 1.8 = per °C; 1e-5 → 1e-6 is × 10</t>
  </si>
  <si>
    <t>/°F</t>
  </si>
  <si>
    <t>/°C</t>
  </si>
  <si>
    <t>ΔT of 1 °C = 1.8 °F</t>
  </si>
  <si>
    <t>Temperature (offset)</t>
  </si>
  <si>
    <t>°F</t>
  </si>
  <si>
    <t>°C</t>
  </si>
  <si>
    <t>n/a</t>
  </si>
  <si>
    <t>°C = (°F − 32) / 1.8 (offset, not a factor)</t>
  </si>
  <si>
    <t>Unit systems side by side: RISA / STAAD Imperial vs Standard Metric</t>
  </si>
  <si>
    <t>Column D lists the internal unit the solver should carry for each quantity so that every stiffness term is consistent.</t>
  </si>
  <si>
    <t>Solver internal (recommended)</t>
  </si>
  <si>
    <t>Note</t>
  </si>
  <si>
    <t>Node coordinates</t>
  </si>
  <si>
    <t>consistent length L</t>
  </si>
  <si>
    <t>RISA mixes ft for geometry and in for sections; convert to one length.</t>
  </si>
  <si>
    <t>Section dimensions</t>
  </si>
  <si>
    <t>L</t>
  </si>
  <si>
    <t>Section tables (AISC, ASEP) list in and mm respectively.</t>
  </si>
  <si>
    <t>L²</t>
  </si>
  <si>
    <t>L⁴</t>
  </si>
  <si>
    <t>Watch magnitude: 1 in⁴ = 416,231 mm⁴.</t>
  </si>
  <si>
    <t>F</t>
  </si>
  <si>
    <t>1 kip = 4.448 kN</t>
  </si>
  <si>
    <t>F·L</t>
  </si>
  <si>
    <t>RISA reports kip-ft, STAAD kip-in or kN-m depending on set.</t>
  </si>
  <si>
    <t>Stress, modulus</t>
  </si>
  <si>
    <t>MPa (N/mm²)</t>
  </si>
  <si>
    <t>F/L²</t>
  </si>
  <si>
    <t>With F = kN and L = mm, F/L² = kN/mm² = GPa; multiply by 1000 for MPa.</t>
  </si>
  <si>
    <t>F/L</t>
  </si>
  <si>
    <t>kPa (kN/m²)</t>
  </si>
  <si>
    <t>Unit weight (density)</t>
  </si>
  <si>
    <t>F/L³</t>
  </si>
  <si>
    <t>SI mass density kg/m³ × 9.80665 / 1000 = kN/m³.</t>
  </si>
  <si>
    <t>Temperature change</t>
  </si>
  <si>
    <t>ΔT</t>
  </si>
  <si>
    <t>Coefficient must match: /°F with °F, /°C with °C.</t>
  </si>
  <si>
    <t>1e-6 /°C (or 1e-5 /°C in RISA metric)</t>
  </si>
  <si>
    <t>1/ΔT</t>
  </si>
  <si>
    <t>RISA stores the mantissa only; multiply by the exponent before use.</t>
  </si>
  <si>
    <t>Deflection output</t>
  </si>
  <si>
    <t>Rotation</t>
  </si>
  <si>
    <t>rad</t>
  </si>
  <si>
    <t>Dimensionless in both systems.</t>
  </si>
  <si>
    <t>Spring stiffness (translational)</t>
  </si>
  <si>
    <t>kip/in</t>
  </si>
  <si>
    <t>Spring stiffness (rotational)</t>
  </si>
  <si>
    <t>kip·ft/rad</t>
  </si>
  <si>
    <t>kN·m/rad</t>
  </si>
  <si>
    <t>F·L/rad</t>
  </si>
  <si>
    <t>Two-way converter: type in a yellow cell, read the result beside it</t>
  </si>
  <si>
    <t>Left block converts Imperial to Metric; right block converts Metric to Imperial. Both use the Conversion Factors sheet.</t>
  </si>
  <si>
    <t>Imperial value</t>
  </si>
  <si>
    <t>Metric result</t>
  </si>
  <si>
    <t>Metric value</t>
  </si>
  <si>
    <t>Imperial result</t>
  </si>
  <si>
    <t>Section dimension</t>
  </si>
  <si>
    <t>Temperature</t>
  </si>
  <si>
    <t>Example values are placeholders (W12×26 area and inertia, A36 steel modulus and weight). Replace them with your own.</t>
  </si>
  <si>
    <t>Imperial</t>
  </si>
  <si>
    <t xml:space="preserve">Standard Metric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</si>
</sst>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"/>
    <numFmt numFmtId="165" formatCode="0.000000"/>
    <numFmt numFmtId="167" formatCode="#,##0.000"/>
    <numFmt numFmtId="168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4B2C7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B2C7F"/>
        <bgColor rgb="FF333333"/>
      </patternFill>
    </fill>
    <fill>
      <patternFill patternType="solid">
        <fgColor rgb="FFF7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/>
    <xf numFmtId="16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165" fontId="2" fillId="4" borderId="1" xfId="0" applyNumberFormat="1" applyFont="1" applyFill="1" applyBorder="1"/>
    <xf numFmtId="0" fontId="5" fillId="4" borderId="1" xfId="0" applyFont="1" applyFill="1" applyBorder="1"/>
    <xf numFmtId="165" fontId="2" fillId="0" borderId="1" xfId="0" applyNumberFormat="1" applyFont="1" applyBorder="1"/>
    <xf numFmtId="0" fontId="5" fillId="0" borderId="1" xfId="0" applyFont="1" applyBorder="1"/>
    <xf numFmtId="168" fontId="2" fillId="0" borderId="1" xfId="0" applyNumberFormat="1" applyFont="1" applyBorder="1"/>
    <xf numFmtId="167" fontId="4" fillId="2" borderId="1" xfId="0" applyNumberFormat="1" applyFont="1" applyFill="1" applyBorder="1"/>
    <xf numFmtId="167" fontId="2" fillId="0" borderId="1" xfId="0" applyNumberFormat="1" applyFont="1" applyBorder="1"/>
    <xf numFmtId="168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3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B2C7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5" customWidth="1"/>
    <col min="2" max="2" width="17" customWidth="1"/>
    <col min="3" max="3" width="13" customWidth="1"/>
    <col min="4" max="4" width="20" customWidth="1"/>
    <col min="5" max="5" width="26" customWidth="1"/>
    <col min="6" max="6" width="40" customWidth="1"/>
  </cols>
  <sheetData>
    <row r="1" spans="1:6" ht="18" x14ac:dyDescent="0.4">
      <c r="A1" s="1" t="s">
        <v>0</v>
      </c>
    </row>
    <row r="3" spans="1:6" x14ac:dyDescent="0.35">
      <c r="A3" s="2" t="s">
        <v>1</v>
      </c>
    </row>
    <row r="4" spans="1:6" x14ac:dyDescent="0.35">
      <c r="A4" s="3" t="s">
        <v>2</v>
      </c>
      <c r="B4" s="4">
        <v>25.4</v>
      </c>
      <c r="C4" s="3" t="s">
        <v>3</v>
      </c>
      <c r="D4" s="5" t="s">
        <v>4</v>
      </c>
    </row>
    <row r="5" spans="1:6" x14ac:dyDescent="0.35">
      <c r="A5" s="3" t="s">
        <v>5</v>
      </c>
      <c r="B5" s="4">
        <v>4.4482216152604996</v>
      </c>
      <c r="C5" s="3" t="s">
        <v>6</v>
      </c>
    </row>
    <row r="6" spans="1:6" x14ac:dyDescent="0.35">
      <c r="A6" s="3" t="s">
        <v>7</v>
      </c>
      <c r="B6" s="4">
        <v>9.8066499999999994</v>
      </c>
      <c r="C6" s="3" t="s">
        <v>8</v>
      </c>
    </row>
    <row r="7" spans="1:6" x14ac:dyDescent="0.35">
      <c r="A7" s="3" t="s">
        <v>9</v>
      </c>
      <c r="B7" s="4">
        <v>1000</v>
      </c>
      <c r="C7" s="3" t="s">
        <v>10</v>
      </c>
    </row>
    <row r="8" spans="1:6" x14ac:dyDescent="0.35">
      <c r="A8" s="3" t="s">
        <v>11</v>
      </c>
      <c r="B8" s="4">
        <v>12</v>
      </c>
      <c r="C8" s="3" t="s">
        <v>12</v>
      </c>
    </row>
    <row r="10" spans="1:6" x14ac:dyDescent="0.35">
      <c r="A10" s="2" t="s">
        <v>13</v>
      </c>
    </row>
    <row r="11" spans="1:6" ht="30" customHeight="1" x14ac:dyDescent="0.35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6" x14ac:dyDescent="0.35">
      <c r="A12" s="7" t="s">
        <v>20</v>
      </c>
      <c r="B12" s="7" t="s">
        <v>12</v>
      </c>
      <c r="C12" s="7" t="s">
        <v>3</v>
      </c>
      <c r="D12" s="8">
        <f>$B$4</f>
        <v>25.4</v>
      </c>
      <c r="E12" s="8">
        <f t="shared" ref="E12:E30" si="0">1/D12</f>
        <v>3.937007874015748E-2</v>
      </c>
      <c r="F12" s="9" t="s">
        <v>21</v>
      </c>
    </row>
    <row r="13" spans="1:6" x14ac:dyDescent="0.35">
      <c r="A13" s="3" t="s">
        <v>20</v>
      </c>
      <c r="B13" s="3" t="s">
        <v>22</v>
      </c>
      <c r="C13" s="3" t="s">
        <v>23</v>
      </c>
      <c r="D13" s="10">
        <f>$B$4*$B$8/1000</f>
        <v>0.30479999999999996</v>
      </c>
      <c r="E13" s="10">
        <f t="shared" si="0"/>
        <v>3.2808398950131239</v>
      </c>
      <c r="F13" s="11" t="s">
        <v>24</v>
      </c>
    </row>
    <row r="14" spans="1:6" x14ac:dyDescent="0.35">
      <c r="A14" s="7" t="s">
        <v>25</v>
      </c>
      <c r="B14" s="7" t="s">
        <v>26</v>
      </c>
      <c r="C14" s="7" t="s">
        <v>27</v>
      </c>
      <c r="D14" s="8">
        <f>$B$4^2</f>
        <v>645.16</v>
      </c>
      <c r="E14" s="8">
        <f t="shared" si="0"/>
        <v>1.5500031000062E-3</v>
      </c>
      <c r="F14" s="9" t="s">
        <v>28</v>
      </c>
    </row>
    <row r="15" spans="1:6" x14ac:dyDescent="0.35">
      <c r="A15" s="3" t="s">
        <v>29</v>
      </c>
      <c r="B15" s="3" t="s">
        <v>30</v>
      </c>
      <c r="C15" s="3" t="s">
        <v>31</v>
      </c>
      <c r="D15" s="10">
        <f>$B$4^4</f>
        <v>416231.42559999996</v>
      </c>
      <c r="E15" s="10">
        <f t="shared" si="0"/>
        <v>2.4025096100288302E-6</v>
      </c>
      <c r="F15" s="11" t="s">
        <v>32</v>
      </c>
    </row>
    <row r="16" spans="1:6" x14ac:dyDescent="0.35">
      <c r="A16" s="7" t="s">
        <v>33</v>
      </c>
      <c r="B16" s="7" t="s">
        <v>34</v>
      </c>
      <c r="C16" s="7" t="s">
        <v>35</v>
      </c>
      <c r="D16" s="8">
        <f>$B$4^3</f>
        <v>16387.063999999998</v>
      </c>
      <c r="E16" s="8">
        <f t="shared" si="0"/>
        <v>6.102374409473229E-5</v>
      </c>
      <c r="F16" s="9" t="s">
        <v>36</v>
      </c>
    </row>
    <row r="17" spans="1:6" x14ac:dyDescent="0.35">
      <c r="A17" s="3" t="s">
        <v>37</v>
      </c>
      <c r="B17" s="3" t="s">
        <v>38</v>
      </c>
      <c r="C17" s="3" t="s">
        <v>39</v>
      </c>
      <c r="D17" s="10">
        <f>$B$5*$B$7/1000</f>
        <v>4.4482216152604996</v>
      </c>
      <c r="E17" s="10">
        <f t="shared" si="0"/>
        <v>0.2248089430997105</v>
      </c>
      <c r="F17" s="11" t="s">
        <v>40</v>
      </c>
    </row>
    <row r="18" spans="1:6" x14ac:dyDescent="0.35">
      <c r="A18" s="7" t="s">
        <v>37</v>
      </c>
      <c r="B18" s="7" t="s">
        <v>10</v>
      </c>
      <c r="C18" s="7" t="s">
        <v>6</v>
      </c>
      <c r="D18" s="8">
        <f>$B$5</f>
        <v>4.4482216152604996</v>
      </c>
      <c r="E18" s="8">
        <f t="shared" si="0"/>
        <v>0.2248089430997105</v>
      </c>
      <c r="F18" s="9" t="s">
        <v>41</v>
      </c>
    </row>
    <row r="19" spans="1:6" x14ac:dyDescent="0.35">
      <c r="A19" s="3" t="s">
        <v>42</v>
      </c>
      <c r="B19" s="3" t="s">
        <v>43</v>
      </c>
      <c r="C19" s="3" t="s">
        <v>44</v>
      </c>
      <c r="D19" s="10">
        <f>$B$5*$B$7/1000*$B$4*$B$8/1000</f>
        <v>1.3558179483314001</v>
      </c>
      <c r="E19" s="10">
        <f t="shared" si="0"/>
        <v>0.73756214927726549</v>
      </c>
      <c r="F19" s="11" t="s">
        <v>45</v>
      </c>
    </row>
    <row r="20" spans="1:6" x14ac:dyDescent="0.35">
      <c r="A20" s="7" t="s">
        <v>42</v>
      </c>
      <c r="B20" s="7" t="s">
        <v>46</v>
      </c>
      <c r="C20" s="7" t="s">
        <v>44</v>
      </c>
      <c r="D20" s="8">
        <f>$B$5*$B$7/1000*$B$4/1000</f>
        <v>0.11298482902761668</v>
      </c>
      <c r="E20" s="8">
        <f t="shared" si="0"/>
        <v>8.850745791327185</v>
      </c>
      <c r="F20" s="9" t="s">
        <v>45</v>
      </c>
    </row>
    <row r="21" spans="1:6" x14ac:dyDescent="0.35">
      <c r="A21" s="3" t="s">
        <v>47</v>
      </c>
      <c r="B21" s="3" t="s">
        <v>48</v>
      </c>
      <c r="C21" s="3" t="s">
        <v>49</v>
      </c>
      <c r="D21" s="10">
        <f>$B$5*$B$7/($B$4^2)</f>
        <v>6.8947572931683609</v>
      </c>
      <c r="E21" s="10">
        <f t="shared" si="0"/>
        <v>0.14503773773020923</v>
      </c>
      <c r="F21" s="11" t="s">
        <v>50</v>
      </c>
    </row>
    <row r="22" spans="1:6" x14ac:dyDescent="0.35">
      <c r="A22" s="7" t="s">
        <v>47</v>
      </c>
      <c r="B22" s="7" t="s">
        <v>51</v>
      </c>
      <c r="C22" s="7" t="s">
        <v>52</v>
      </c>
      <c r="D22" s="8">
        <f>$B$5/($B$4^2)*1000</f>
        <v>6.8947572931683609</v>
      </c>
      <c r="E22" s="8">
        <f t="shared" si="0"/>
        <v>0.14503773773020923</v>
      </c>
      <c r="F22" s="9" t="s">
        <v>53</v>
      </c>
    </row>
    <row r="23" spans="1:6" x14ac:dyDescent="0.35">
      <c r="A23" s="3" t="s">
        <v>47</v>
      </c>
      <c r="B23" s="3" t="s">
        <v>48</v>
      </c>
      <c r="C23" s="3" t="s">
        <v>54</v>
      </c>
      <c r="D23" s="10">
        <f>$B$5*$B$7/($B$4^2)/1000</f>
        <v>6.8947572931683607E-3</v>
      </c>
      <c r="E23" s="10">
        <f t="shared" si="0"/>
        <v>145.03773773020922</v>
      </c>
      <c r="F23" s="11" t="s">
        <v>55</v>
      </c>
    </row>
    <row r="24" spans="1:6" x14ac:dyDescent="0.35">
      <c r="A24" s="7" t="s">
        <v>56</v>
      </c>
      <c r="B24" s="7" t="s">
        <v>57</v>
      </c>
      <c r="C24" s="7" t="s">
        <v>58</v>
      </c>
      <c r="D24" s="8">
        <f>$B$5*$B$7/1000/($B$4*$B$8/1000)</f>
        <v>14.593902937206366</v>
      </c>
      <c r="E24" s="8">
        <f t="shared" si="0"/>
        <v>6.8521765856791747E-2</v>
      </c>
      <c r="F24" s="9" t="s">
        <v>59</v>
      </c>
    </row>
    <row r="25" spans="1:6" x14ac:dyDescent="0.35">
      <c r="A25" s="3" t="s">
        <v>60</v>
      </c>
      <c r="B25" s="3" t="s">
        <v>61</v>
      </c>
      <c r="C25" s="3" t="s">
        <v>52</v>
      </c>
      <c r="D25" s="10">
        <f>$B$5/(($B$4*$B$8/1000)^2)/1000</f>
        <v>4.7880258980335856E-2</v>
      </c>
      <c r="E25" s="10">
        <f t="shared" si="0"/>
        <v>20.885434233150121</v>
      </c>
      <c r="F25" s="11" t="s">
        <v>62</v>
      </c>
    </row>
    <row r="26" spans="1:6" x14ac:dyDescent="0.35">
      <c r="A26" s="7" t="s">
        <v>63</v>
      </c>
      <c r="B26" s="7" t="s">
        <v>64</v>
      </c>
      <c r="C26" s="7" t="s">
        <v>65</v>
      </c>
      <c r="D26" s="8">
        <f>$B$5*$B$7/1000/(($B$4*$B$8/1000)^3)</f>
        <v>157.08746384624624</v>
      </c>
      <c r="E26" s="8">
        <f t="shared" si="0"/>
        <v>6.365880354264157E-3</v>
      </c>
      <c r="F26" s="9" t="s">
        <v>66</v>
      </c>
    </row>
    <row r="27" spans="1:6" x14ac:dyDescent="0.35">
      <c r="A27" s="3" t="s">
        <v>63</v>
      </c>
      <c r="B27" s="3" t="s">
        <v>67</v>
      </c>
      <c r="C27" s="3" t="s">
        <v>65</v>
      </c>
      <c r="D27" s="10">
        <f>$B$5/(($B$4*$B$8/1000)^3)/1000</f>
        <v>0.15708746384624625</v>
      </c>
      <c r="E27" s="10">
        <f t="shared" si="0"/>
        <v>6.3658803542641564</v>
      </c>
      <c r="F27" s="11" t="s">
        <v>68</v>
      </c>
    </row>
    <row r="28" spans="1:6" x14ac:dyDescent="0.35">
      <c r="A28" s="7" t="s">
        <v>69</v>
      </c>
      <c r="B28" s="7" t="s">
        <v>64</v>
      </c>
      <c r="C28" s="7" t="s">
        <v>70</v>
      </c>
      <c r="D28" s="8">
        <f>$B$5*$B$7/(($B$4*$B$8/1000)^3)/$B$6</f>
        <v>16018.463373960145</v>
      </c>
      <c r="E28" s="8">
        <f t="shared" si="0"/>
        <v>6.242796057614459E-5</v>
      </c>
      <c r="F28" s="9" t="s">
        <v>71</v>
      </c>
    </row>
    <row r="29" spans="1:6" x14ac:dyDescent="0.35">
      <c r="A29" s="3" t="s">
        <v>72</v>
      </c>
      <c r="B29" s="3" t="s">
        <v>73</v>
      </c>
      <c r="C29" s="3" t="s">
        <v>74</v>
      </c>
      <c r="D29" s="10">
        <f>1.8*10</f>
        <v>18</v>
      </c>
      <c r="E29" s="10">
        <f t="shared" si="0"/>
        <v>5.5555555555555552E-2</v>
      </c>
      <c r="F29" s="11" t="s">
        <v>75</v>
      </c>
    </row>
    <row r="30" spans="1:6" x14ac:dyDescent="0.35">
      <c r="A30" s="7" t="s">
        <v>72</v>
      </c>
      <c r="B30" s="7" t="s">
        <v>76</v>
      </c>
      <c r="C30" s="7" t="s">
        <v>77</v>
      </c>
      <c r="D30" s="8">
        <f>1.8</f>
        <v>1.8</v>
      </c>
      <c r="E30" s="8">
        <f t="shared" si="0"/>
        <v>0.55555555555555558</v>
      </c>
      <c r="F30" s="9" t="s">
        <v>78</v>
      </c>
    </row>
    <row r="31" spans="1:6" x14ac:dyDescent="0.35">
      <c r="A31" s="3" t="s">
        <v>79</v>
      </c>
      <c r="B31" s="3" t="s">
        <v>80</v>
      </c>
      <c r="C31" s="3" t="s">
        <v>81</v>
      </c>
      <c r="D31" s="10" t="s">
        <v>82</v>
      </c>
      <c r="E31" s="3" t="s">
        <v>82</v>
      </c>
      <c r="F31" s="11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tabSelected="1" zoomScaleNormal="100" workbookViewId="0">
      <pane ySplit="4" topLeftCell="A5" activePane="bottomLeft" state="frozen"/>
      <selection pane="bottomLeft" activeCell="D24" sqref="D24"/>
    </sheetView>
  </sheetViews>
  <sheetFormatPr defaultColWidth="8.6328125" defaultRowHeight="14.5" x14ac:dyDescent="0.35"/>
  <cols>
    <col min="1" max="1" width="45" customWidth="1"/>
    <col min="2" max="2" width="25" customWidth="1"/>
    <col min="3" max="3" width="41" customWidth="1"/>
    <col min="4" max="4" width="31" customWidth="1"/>
    <col min="5" max="5" width="60" customWidth="1"/>
  </cols>
  <sheetData>
    <row r="1" spans="1:5" ht="18" x14ac:dyDescent="0.4">
      <c r="A1" s="1" t="s">
        <v>84</v>
      </c>
    </row>
    <row r="2" spans="1:5" x14ac:dyDescent="0.35">
      <c r="A2" s="5" t="s">
        <v>85</v>
      </c>
    </row>
    <row r="4" spans="1:5" ht="30" customHeight="1" x14ac:dyDescent="0.35">
      <c r="A4" s="6" t="s">
        <v>14</v>
      </c>
      <c r="B4" s="6" t="s">
        <v>135</v>
      </c>
      <c r="C4" s="6" t="s">
        <v>136</v>
      </c>
      <c r="D4" s="6" t="s">
        <v>86</v>
      </c>
      <c r="E4" s="6" t="s">
        <v>87</v>
      </c>
    </row>
    <row r="5" spans="1:5" x14ac:dyDescent="0.35">
      <c r="A5" s="3" t="s">
        <v>88</v>
      </c>
      <c r="B5" s="3" t="s">
        <v>22</v>
      </c>
      <c r="C5" s="3" t="s">
        <v>23</v>
      </c>
      <c r="D5" s="3" t="s">
        <v>89</v>
      </c>
      <c r="E5" s="11" t="s">
        <v>90</v>
      </c>
    </row>
    <row r="6" spans="1:5" x14ac:dyDescent="0.35">
      <c r="A6" s="7" t="s">
        <v>91</v>
      </c>
      <c r="B6" s="7" t="s">
        <v>12</v>
      </c>
      <c r="C6" s="7" t="s">
        <v>3</v>
      </c>
      <c r="D6" s="7" t="s">
        <v>92</v>
      </c>
      <c r="E6" s="9" t="s">
        <v>93</v>
      </c>
    </row>
    <row r="7" spans="1:5" x14ac:dyDescent="0.35">
      <c r="A7" s="3" t="s">
        <v>25</v>
      </c>
      <c r="B7" s="3" t="s">
        <v>26</v>
      </c>
      <c r="C7" s="3" t="s">
        <v>27</v>
      </c>
      <c r="D7" s="3" t="s">
        <v>94</v>
      </c>
      <c r="E7" s="11"/>
    </row>
    <row r="8" spans="1:5" x14ac:dyDescent="0.35">
      <c r="A8" s="7" t="s">
        <v>29</v>
      </c>
      <c r="B8" s="7" t="s">
        <v>30</v>
      </c>
      <c r="C8" s="7" t="s">
        <v>31</v>
      </c>
      <c r="D8" s="7" t="s">
        <v>95</v>
      </c>
      <c r="E8" s="9" t="s">
        <v>96</v>
      </c>
    </row>
    <row r="9" spans="1:5" x14ac:dyDescent="0.35">
      <c r="A9" s="3" t="s">
        <v>37</v>
      </c>
      <c r="B9" s="3" t="s">
        <v>38</v>
      </c>
      <c r="C9" s="3" t="s">
        <v>39</v>
      </c>
      <c r="D9" s="3" t="s">
        <v>97</v>
      </c>
      <c r="E9" s="11" t="s">
        <v>98</v>
      </c>
    </row>
    <row r="10" spans="1:5" x14ac:dyDescent="0.35">
      <c r="A10" s="7" t="s">
        <v>42</v>
      </c>
      <c r="B10" s="7" t="s">
        <v>43</v>
      </c>
      <c r="C10" s="7" t="s">
        <v>44</v>
      </c>
      <c r="D10" s="7" t="s">
        <v>99</v>
      </c>
      <c r="E10" s="9" t="s">
        <v>100</v>
      </c>
    </row>
    <row r="11" spans="1:5" x14ac:dyDescent="0.35">
      <c r="A11" s="3" t="s">
        <v>101</v>
      </c>
      <c r="B11" s="3" t="s">
        <v>48</v>
      </c>
      <c r="C11" s="3" t="s">
        <v>102</v>
      </c>
      <c r="D11" s="3" t="s">
        <v>103</v>
      </c>
      <c r="E11" s="11" t="s">
        <v>104</v>
      </c>
    </row>
    <row r="12" spans="1:5" x14ac:dyDescent="0.35">
      <c r="A12" s="7" t="s">
        <v>56</v>
      </c>
      <c r="B12" s="7" t="s">
        <v>57</v>
      </c>
      <c r="C12" s="7" t="s">
        <v>58</v>
      </c>
      <c r="D12" s="7" t="s">
        <v>105</v>
      </c>
      <c r="E12" s="9"/>
    </row>
    <row r="13" spans="1:5" x14ac:dyDescent="0.35">
      <c r="A13" s="3" t="s">
        <v>60</v>
      </c>
      <c r="B13" s="3" t="s">
        <v>61</v>
      </c>
      <c r="C13" s="3" t="s">
        <v>106</v>
      </c>
      <c r="D13" s="3" t="s">
        <v>103</v>
      </c>
      <c r="E13" s="11"/>
    </row>
    <row r="14" spans="1:5" x14ac:dyDescent="0.35">
      <c r="A14" s="7" t="s">
        <v>107</v>
      </c>
      <c r="B14" s="7" t="s">
        <v>64</v>
      </c>
      <c r="C14" s="7" t="s">
        <v>65</v>
      </c>
      <c r="D14" s="7" t="s">
        <v>108</v>
      </c>
      <c r="E14" s="9" t="s">
        <v>109</v>
      </c>
    </row>
    <row r="15" spans="1:5" x14ac:dyDescent="0.35">
      <c r="A15" s="3" t="s">
        <v>110</v>
      </c>
      <c r="B15" s="3" t="s">
        <v>80</v>
      </c>
      <c r="C15" s="3" t="s">
        <v>81</v>
      </c>
      <c r="D15" s="3" t="s">
        <v>111</v>
      </c>
      <c r="E15" s="11" t="s">
        <v>112</v>
      </c>
    </row>
    <row r="16" spans="1:5" x14ac:dyDescent="0.35">
      <c r="A16" s="7" t="s">
        <v>72</v>
      </c>
      <c r="B16" s="7" t="s">
        <v>73</v>
      </c>
      <c r="C16" s="7" t="s">
        <v>113</v>
      </c>
      <c r="D16" s="7" t="s">
        <v>114</v>
      </c>
      <c r="E16" s="9" t="s">
        <v>115</v>
      </c>
    </row>
    <row r="17" spans="1:5" x14ac:dyDescent="0.35">
      <c r="A17" s="3" t="s">
        <v>116</v>
      </c>
      <c r="B17" s="3" t="s">
        <v>12</v>
      </c>
      <c r="C17" s="3" t="s">
        <v>3</v>
      </c>
      <c r="D17" s="3" t="s">
        <v>92</v>
      </c>
      <c r="E17" s="11"/>
    </row>
    <row r="18" spans="1:5" x14ac:dyDescent="0.35">
      <c r="A18" s="7" t="s">
        <v>117</v>
      </c>
      <c r="B18" s="7" t="s">
        <v>118</v>
      </c>
      <c r="C18" s="7" t="s">
        <v>118</v>
      </c>
      <c r="D18" s="7" t="s">
        <v>118</v>
      </c>
      <c r="E18" s="9" t="s">
        <v>119</v>
      </c>
    </row>
    <row r="19" spans="1:5" x14ac:dyDescent="0.35">
      <c r="A19" s="3" t="s">
        <v>120</v>
      </c>
      <c r="B19" s="3" t="s">
        <v>121</v>
      </c>
      <c r="C19" s="3" t="s">
        <v>58</v>
      </c>
      <c r="D19" s="3" t="s">
        <v>105</v>
      </c>
      <c r="E19" s="11"/>
    </row>
    <row r="20" spans="1:5" x14ac:dyDescent="0.35">
      <c r="A20" s="7" t="s">
        <v>122</v>
      </c>
      <c r="B20" s="7" t="s">
        <v>123</v>
      </c>
      <c r="C20" s="7" t="s">
        <v>124</v>
      </c>
      <c r="D20" s="7" t="s">
        <v>125</v>
      </c>
      <c r="E20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zoomScaleNormal="100" workbookViewId="0">
      <selection activeCell="D26" sqref="D26"/>
    </sheetView>
  </sheetViews>
  <sheetFormatPr defaultColWidth="8.6328125" defaultRowHeight="14.5" x14ac:dyDescent="0.35"/>
  <cols>
    <col min="1" max="1" width="45" customWidth="1"/>
    <col min="2" max="2" width="16" customWidth="1"/>
    <col min="3" max="3" width="15" customWidth="1"/>
    <col min="4" max="4" width="16" customWidth="1"/>
    <col min="5" max="5" width="13" customWidth="1"/>
    <col min="6" max="6" width="3" customWidth="1"/>
    <col min="7" max="7" width="21" customWidth="1"/>
    <col min="8" max="8" width="16" customWidth="1"/>
    <col min="9" max="9" width="13" customWidth="1"/>
    <col min="10" max="10" width="16" customWidth="1"/>
    <col min="11" max="11" width="15" customWidth="1"/>
  </cols>
  <sheetData>
    <row r="1" spans="1:11" ht="18" x14ac:dyDescent="0.4">
      <c r="A1" s="1" t="s">
        <v>126</v>
      </c>
    </row>
    <row r="2" spans="1:11" x14ac:dyDescent="0.35">
      <c r="A2" s="5" t="s">
        <v>127</v>
      </c>
    </row>
    <row r="4" spans="1:11" ht="30" customHeight="1" x14ac:dyDescent="0.35">
      <c r="A4" s="6" t="s">
        <v>14</v>
      </c>
      <c r="B4" s="6" t="s">
        <v>128</v>
      </c>
      <c r="C4" s="6" t="s">
        <v>15</v>
      </c>
      <c r="D4" s="6" t="s">
        <v>129</v>
      </c>
      <c r="E4" s="6" t="s">
        <v>16</v>
      </c>
      <c r="G4" s="6" t="s">
        <v>14</v>
      </c>
      <c r="H4" s="6" t="s">
        <v>130</v>
      </c>
      <c r="I4" s="6" t="s">
        <v>16</v>
      </c>
      <c r="J4" s="6" t="s">
        <v>131</v>
      </c>
      <c r="K4" s="6" t="s">
        <v>15</v>
      </c>
    </row>
    <row r="5" spans="1:11" x14ac:dyDescent="0.35">
      <c r="A5" s="3" t="s">
        <v>20</v>
      </c>
      <c r="B5" s="13">
        <v>20</v>
      </c>
      <c r="C5" s="3" t="s">
        <v>22</v>
      </c>
      <c r="D5" s="14">
        <f>B5*'Conversion Factors'!$D$13</f>
        <v>6.0959999999999992</v>
      </c>
      <c r="E5" s="3" t="s">
        <v>23</v>
      </c>
      <c r="G5" s="3" t="s">
        <v>20</v>
      </c>
      <c r="H5" s="13">
        <v>6</v>
      </c>
      <c r="I5" s="3" t="s">
        <v>23</v>
      </c>
      <c r="J5" s="14">
        <f>H5/'Conversion Factors'!$D$13</f>
        <v>19.685039370078744</v>
      </c>
      <c r="K5" s="3" t="s">
        <v>22</v>
      </c>
    </row>
    <row r="6" spans="1:11" x14ac:dyDescent="0.35">
      <c r="A6" s="3" t="s">
        <v>132</v>
      </c>
      <c r="B6" s="13">
        <v>12</v>
      </c>
      <c r="C6" s="3" t="s">
        <v>12</v>
      </c>
      <c r="D6" s="14">
        <f>B6*'Conversion Factors'!$D$12</f>
        <v>304.79999999999995</v>
      </c>
      <c r="E6" s="3" t="s">
        <v>3</v>
      </c>
      <c r="G6" s="3" t="s">
        <v>132</v>
      </c>
      <c r="H6" s="13">
        <v>300</v>
      </c>
      <c r="I6" s="3" t="s">
        <v>3</v>
      </c>
      <c r="J6" s="14">
        <f>H6/'Conversion Factors'!$D$12</f>
        <v>11.811023622047244</v>
      </c>
      <c r="K6" s="3" t="s">
        <v>12</v>
      </c>
    </row>
    <row r="7" spans="1:11" x14ac:dyDescent="0.35">
      <c r="A7" s="3" t="s">
        <v>25</v>
      </c>
      <c r="B7" s="13">
        <v>7.65</v>
      </c>
      <c r="C7" s="3" t="s">
        <v>26</v>
      </c>
      <c r="D7" s="14">
        <f>B7*'Conversion Factors'!$D$14</f>
        <v>4935.4740000000002</v>
      </c>
      <c r="E7" s="3" t="s">
        <v>27</v>
      </c>
      <c r="G7" s="3" t="s">
        <v>25</v>
      </c>
      <c r="H7" s="13">
        <v>5000</v>
      </c>
      <c r="I7" s="3" t="s">
        <v>27</v>
      </c>
      <c r="J7" s="14">
        <f>H7/'Conversion Factors'!$D$14</f>
        <v>7.750015500031</v>
      </c>
      <c r="K7" s="3" t="s">
        <v>26</v>
      </c>
    </row>
    <row r="8" spans="1:11" x14ac:dyDescent="0.35">
      <c r="A8" s="3" t="s">
        <v>29</v>
      </c>
      <c r="B8" s="13">
        <v>204</v>
      </c>
      <c r="C8" s="3" t="s">
        <v>30</v>
      </c>
      <c r="D8" s="14">
        <f>B8*'Conversion Factors'!$D$15</f>
        <v>84911210.822399989</v>
      </c>
      <c r="E8" s="3" t="s">
        <v>31</v>
      </c>
      <c r="G8" s="3" t="s">
        <v>29</v>
      </c>
      <c r="H8" s="13">
        <v>85000000</v>
      </c>
      <c r="I8" s="3" t="s">
        <v>31</v>
      </c>
      <c r="J8" s="14">
        <f>H8/'Conversion Factors'!$D$15</f>
        <v>204.21331685245059</v>
      </c>
      <c r="K8" s="3" t="s">
        <v>30</v>
      </c>
    </row>
    <row r="9" spans="1:11" x14ac:dyDescent="0.35">
      <c r="A9" s="3" t="s">
        <v>37</v>
      </c>
      <c r="B9" s="13">
        <v>10</v>
      </c>
      <c r="C9" s="3" t="s">
        <v>38</v>
      </c>
      <c r="D9" s="14">
        <f>B9*'Conversion Factors'!$D$17</f>
        <v>44.482216152604998</v>
      </c>
      <c r="E9" s="3" t="s">
        <v>39</v>
      </c>
      <c r="G9" s="3" t="s">
        <v>37</v>
      </c>
      <c r="H9" s="13">
        <v>50</v>
      </c>
      <c r="I9" s="3" t="s">
        <v>39</v>
      </c>
      <c r="J9" s="14">
        <f>H9/'Conversion Factors'!$D$17</f>
        <v>11.240447154985524</v>
      </c>
      <c r="K9" s="3" t="s">
        <v>38</v>
      </c>
    </row>
    <row r="10" spans="1:11" x14ac:dyDescent="0.35">
      <c r="A10" s="3" t="s">
        <v>42</v>
      </c>
      <c r="B10" s="13">
        <v>100</v>
      </c>
      <c r="C10" s="3" t="s">
        <v>43</v>
      </c>
      <c r="D10" s="14">
        <f>B10*'Conversion Factors'!$D$19</f>
        <v>135.58179483314001</v>
      </c>
      <c r="E10" s="3" t="s">
        <v>44</v>
      </c>
      <c r="G10" s="3" t="s">
        <v>42</v>
      </c>
      <c r="H10" s="13">
        <v>150</v>
      </c>
      <c r="I10" s="3" t="s">
        <v>44</v>
      </c>
      <c r="J10" s="14">
        <f>H10/'Conversion Factors'!$D$19</f>
        <v>110.63432239158983</v>
      </c>
      <c r="K10" s="3" t="s">
        <v>43</v>
      </c>
    </row>
    <row r="11" spans="1:11" x14ac:dyDescent="0.35">
      <c r="A11" s="3" t="s">
        <v>47</v>
      </c>
      <c r="B11" s="13">
        <v>29000</v>
      </c>
      <c r="C11" s="3" t="s">
        <v>48</v>
      </c>
      <c r="D11" s="14">
        <f>B11*'Conversion Factors'!$D$21</f>
        <v>199947.96150188247</v>
      </c>
      <c r="E11" s="3" t="s">
        <v>49</v>
      </c>
      <c r="G11" s="3" t="s">
        <v>47</v>
      </c>
      <c r="H11" s="13">
        <v>200000</v>
      </c>
      <c r="I11" s="3" t="s">
        <v>49</v>
      </c>
      <c r="J11" s="14">
        <f>H11/'Conversion Factors'!$D$21</f>
        <v>29007.547546041846</v>
      </c>
      <c r="K11" s="3" t="s">
        <v>48</v>
      </c>
    </row>
    <row r="12" spans="1:11" x14ac:dyDescent="0.35">
      <c r="A12" s="3" t="s">
        <v>56</v>
      </c>
      <c r="B12" s="13">
        <v>1.2</v>
      </c>
      <c r="C12" s="3" t="s">
        <v>57</v>
      </c>
      <c r="D12" s="14">
        <f>B12*'Conversion Factors'!$D$24</f>
        <v>17.512683524647638</v>
      </c>
      <c r="E12" s="3" t="s">
        <v>58</v>
      </c>
      <c r="G12" s="3" t="s">
        <v>56</v>
      </c>
      <c r="H12" s="13">
        <v>20</v>
      </c>
      <c r="I12" s="3" t="s">
        <v>58</v>
      </c>
      <c r="J12" s="14">
        <f>H12/'Conversion Factors'!$D$24</f>
        <v>1.370435317135835</v>
      </c>
      <c r="K12" s="3" t="s">
        <v>57</v>
      </c>
    </row>
    <row r="13" spans="1:11" x14ac:dyDescent="0.35">
      <c r="A13" s="3" t="s">
        <v>60</v>
      </c>
      <c r="B13" s="13">
        <v>50</v>
      </c>
      <c r="C13" s="3" t="s">
        <v>61</v>
      </c>
      <c r="D13" s="14">
        <f>B13*'Conversion Factors'!$D$25</f>
        <v>2.3940129490167927</v>
      </c>
      <c r="E13" s="3" t="s">
        <v>52</v>
      </c>
      <c r="G13" s="3" t="s">
        <v>60</v>
      </c>
      <c r="H13" s="13">
        <v>2.4</v>
      </c>
      <c r="I13" s="3" t="s">
        <v>52</v>
      </c>
      <c r="J13" s="14">
        <f>H13/'Conversion Factors'!$D$25</f>
        <v>50.125042159560287</v>
      </c>
      <c r="K13" s="3" t="s">
        <v>61</v>
      </c>
    </row>
    <row r="14" spans="1:11" x14ac:dyDescent="0.35">
      <c r="A14" s="3" t="s">
        <v>63</v>
      </c>
      <c r="B14" s="13">
        <v>0.49</v>
      </c>
      <c r="C14" s="3" t="s">
        <v>64</v>
      </c>
      <c r="D14" s="14">
        <f>B14*'Conversion Factors'!$D$26</f>
        <v>76.972857284660648</v>
      </c>
      <c r="E14" s="3" t="s">
        <v>65</v>
      </c>
      <c r="G14" s="3" t="s">
        <v>63</v>
      </c>
      <c r="H14" s="13">
        <v>77</v>
      </c>
      <c r="I14" s="3" t="s">
        <v>65</v>
      </c>
      <c r="J14" s="14">
        <f>H14/'Conversion Factors'!$D$26</f>
        <v>0.49017278727834013</v>
      </c>
      <c r="K14" s="3" t="s">
        <v>64</v>
      </c>
    </row>
    <row r="15" spans="1:11" x14ac:dyDescent="0.35">
      <c r="A15" s="3" t="s">
        <v>72</v>
      </c>
      <c r="B15" s="13">
        <v>0.65</v>
      </c>
      <c r="C15" s="3" t="s">
        <v>73</v>
      </c>
      <c r="D15" s="14">
        <f>B15*'Conversion Factors'!$D$29</f>
        <v>11.700000000000001</v>
      </c>
      <c r="E15" s="3" t="s">
        <v>74</v>
      </c>
      <c r="G15" s="3" t="s">
        <v>72</v>
      </c>
      <c r="H15" s="13">
        <v>11.7</v>
      </c>
      <c r="I15" s="3" t="s">
        <v>74</v>
      </c>
      <c r="J15" s="14">
        <f>H15/'Conversion Factors'!$D$29</f>
        <v>0.64999999999999991</v>
      </c>
      <c r="K15" s="3" t="s">
        <v>73</v>
      </c>
    </row>
    <row r="16" spans="1:11" x14ac:dyDescent="0.35">
      <c r="A16" s="3" t="s">
        <v>133</v>
      </c>
      <c r="B16" s="15">
        <v>100</v>
      </c>
      <c r="C16" s="3" t="s">
        <v>80</v>
      </c>
      <c r="D16" s="12">
        <f>(B16-32)/1.8</f>
        <v>37.777777777777779</v>
      </c>
      <c r="E16" s="3" t="s">
        <v>81</v>
      </c>
      <c r="G16" s="3" t="s">
        <v>133</v>
      </c>
      <c r="H16" s="15">
        <v>30</v>
      </c>
      <c r="I16" s="3" t="s">
        <v>81</v>
      </c>
      <c r="J16" s="12">
        <f>H16*1.8+32</f>
        <v>86</v>
      </c>
      <c r="K16" s="3" t="s">
        <v>80</v>
      </c>
    </row>
    <row r="18" spans="1:1" x14ac:dyDescent="0.35">
      <c r="A18" s="5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 Factors</vt:lpstr>
      <vt:lpstr>Unit Systems</vt:lpstr>
      <vt:lpstr>Converter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Airol Escranda</cp:lastModifiedBy>
  <cp:revision>0</cp:revision>
  <dcterms:created xsi:type="dcterms:W3CDTF">2026-09-08T01:47:03Z</dcterms:created>
  <dcterms:modified xsi:type="dcterms:W3CDTF">2026-09-08T03:08:32Z</dcterms:modified>
  <dc:language>en-US</dc:language>
</cp:coreProperties>
</file>